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ee0d2b9c5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707c8ba38e541d0"/>
    <x:sheet xmlns:r="http://schemas.openxmlformats.org/officeDocument/2006/relationships" name="01_Public_Sources" sheetId="2" r:id="R9395f90f529b43c6"/>
    <x:sheet xmlns:r="http://schemas.openxmlformats.org/officeDocument/2006/relationships" name="02_Public_Activity" sheetId="3" r:id="R4b4b963af1b84ea1"/>
    <x:sheet xmlns:r="http://schemas.openxmlformats.org/officeDocument/2006/relationships" name="03_Scenario" sheetId="4" r:id="R483d0aa1f2914b0a"/>
    <x:sheet xmlns:r="http://schemas.openxmlformats.org/officeDocument/2006/relationships" name="04_Actors" sheetId="5" r:id="R20d02853c91248a2"/>
    <x:sheet xmlns:r="http://schemas.openxmlformats.org/officeDocument/2006/relationships" name="05_Zones" sheetId="6" r:id="R7e1f8d4e6eeb4a2d"/>
    <x:sheet xmlns:r="http://schemas.openxmlformats.org/officeDocument/2006/relationships" name="06_Force_Packages" sheetId="7" r:id="R9665b3ca94494d0f"/>
    <x:sheet xmlns:r="http://schemas.openxmlformats.org/officeDocument/2006/relationships" name="07_Capabilities" sheetId="8" r:id="R370723b8cb8c4a40"/>
    <x:sheet xmlns:r="http://schemas.openxmlformats.org/officeDocument/2006/relationships" name="08_Weather" sheetId="9" r:id="R6c4d0485fc454ec2"/>
    <x:sheet xmlns:r="http://schemas.openxmlformats.org/officeDocument/2006/relationships" name="09_Intelligence" sheetId="10" r:id="R897b531c64e24f63"/>
    <x:sheet xmlns:r="http://schemas.openxmlformats.org/officeDocument/2006/relationships" name="10_Event_Cards" sheetId="11" r:id="Rb440503533a249ac"/>
    <x:sheet xmlns:r="http://schemas.openxmlformats.org/officeDocument/2006/relationships" name="11_Orders" sheetId="12" r:id="R833845684cdc4255"/>
    <x:sheet xmlns:r="http://schemas.openxmlformats.org/officeDocument/2006/relationships" name="12_Engagements" sheetId="13" r:id="Ra062671e54974e6c"/>
    <x:sheet xmlns:r="http://schemas.openxmlformats.org/officeDocument/2006/relationships" name="13_Attrition" sheetId="14" r:id="R36192d889462433e"/>
    <x:sheet xmlns:r="http://schemas.openxmlformats.org/officeDocument/2006/relationships" name="14_Intercept_Lab" sheetId="15" r:id="R998ce643949d408d"/>
    <x:sheet xmlns:r="http://schemas.openxmlformats.org/officeDocument/2006/relationships" name="15_Data_Dictionary" sheetId="16" r:id="R982aa78354594bb9"/>
    <x:sheet xmlns:r="http://schemas.openxmlformats.org/officeDocument/2006/relationships" name="16_Dashboard" sheetId="17" r:id="Rf800d79f5fad4745"/>
    <x:sheet xmlns:r="http://schemas.openxmlformats.org/officeDocument/2006/relationships" name="17_Scenario_Templates" sheetId="18" r:id="R528d6d523d904ec5"/>
    <x:sheet xmlns:r="http://schemas.openxmlformats.org/officeDocument/2006/relationships" name="18_Settings" sheetId="19" r:id="R382459b399fd476b"/>
    <x:sheet xmlns:r="http://schemas.openxmlformats.org/officeDocument/2006/relationships" name="19_Resources" sheetId="20" r:id="R7097fef3c7b74c6e"/>
    <x:sheet xmlns:r="http://schemas.openxmlformats.org/officeDocument/2006/relationships" name="20_Actions" sheetId="21" r:id="R8340f810f8b548ab"/>
    <x:sheet xmlns:r="http://schemas.openxmlformats.org/officeDocument/2006/relationships" name="21_LLM_Providers" sheetId="22" r:id="R703ba40a88d2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5D7B"/>
      </x:patternFill>
    </x:fill>
    <x:fill>
      <x:patternFill patternType="solid">
        <x:fgColor rgb="FFDDEA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5324B"/>
      </x:patternFill>
    </x:fill>
    <x:fill>
      <x:patternFill patternType="solid">
        <x:fgColor rgb="FF0F6674"/>
      </x:patternFill>
    </x:fill>
    <x:fill>
      <x:patternFill patternType="solid">
        <x:fgColor rgb="FFE8F4E4"/>
      </x:patternFill>
    </x:fill>
    <x:fill>
      <x:patternFill patternType="solid">
        <x:fgColor rgb="FFEAF3F6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left" vertical="center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256c1ab994d8e" /><Relationship Type="http://schemas.openxmlformats.org/officeDocument/2006/relationships/theme" Target="/xl/theme/theme1.xml" Id="R9117927dc93b41a8" /><Relationship Type="http://schemas.openxmlformats.org/officeDocument/2006/relationships/sharedStrings" Target="/xl/sharedStrings.xml" Id="R54d330db08864bfb" /><Relationship Type="http://schemas.openxmlformats.org/officeDocument/2006/relationships/worksheet" Target="/xl/worksheets/sheet1.xml" Id="R7707c8ba38e541d0" /><Relationship Type="http://schemas.openxmlformats.org/officeDocument/2006/relationships/worksheet" Target="/xl/worksheets/sheet2.xml" Id="R9395f90f529b43c6" /><Relationship Type="http://schemas.openxmlformats.org/officeDocument/2006/relationships/worksheet" Target="/xl/worksheets/sheet3.xml" Id="R4b4b963af1b84ea1" /><Relationship Type="http://schemas.openxmlformats.org/officeDocument/2006/relationships/worksheet" Target="/xl/worksheets/sheet4.xml" Id="R483d0aa1f2914b0a" /><Relationship Type="http://schemas.openxmlformats.org/officeDocument/2006/relationships/worksheet" Target="/xl/worksheets/sheet5.xml" Id="R20d02853c91248a2" /><Relationship Type="http://schemas.openxmlformats.org/officeDocument/2006/relationships/worksheet" Target="/xl/worksheets/sheet6.xml" Id="R7e1f8d4e6eeb4a2d" /><Relationship Type="http://schemas.openxmlformats.org/officeDocument/2006/relationships/worksheet" Target="/xl/worksheets/sheet7.xml" Id="R9665b3ca94494d0f" /><Relationship Type="http://schemas.openxmlformats.org/officeDocument/2006/relationships/worksheet" Target="/xl/worksheets/sheet8.xml" Id="R370723b8cb8c4a40" /><Relationship Type="http://schemas.openxmlformats.org/officeDocument/2006/relationships/worksheet" Target="/xl/worksheets/sheet9.xml" Id="R6c4d0485fc454ec2" /><Relationship Type="http://schemas.openxmlformats.org/officeDocument/2006/relationships/worksheet" Target="/xl/worksheets/sheet10.xml" Id="R897b531c64e24f63" /><Relationship Type="http://schemas.openxmlformats.org/officeDocument/2006/relationships/worksheet" Target="/xl/worksheets/sheet11.xml" Id="Rb440503533a249ac" /><Relationship Type="http://schemas.openxmlformats.org/officeDocument/2006/relationships/worksheet" Target="/xl/worksheets/sheet12.xml" Id="R833845684cdc4255" /><Relationship Type="http://schemas.openxmlformats.org/officeDocument/2006/relationships/worksheet" Target="/xl/worksheets/sheet13.xml" Id="Ra062671e54974e6c" /><Relationship Type="http://schemas.openxmlformats.org/officeDocument/2006/relationships/worksheet" Target="/xl/worksheets/sheet14.xml" Id="R36192d889462433e" /><Relationship Type="http://schemas.openxmlformats.org/officeDocument/2006/relationships/worksheet" Target="/xl/worksheets/sheet15.xml" Id="R998ce643949d408d" /><Relationship Type="http://schemas.openxmlformats.org/officeDocument/2006/relationships/worksheet" Target="/xl/worksheets/sheet16.xml" Id="R982aa78354594bb9" /><Relationship Type="http://schemas.openxmlformats.org/officeDocument/2006/relationships/worksheet" Target="/xl/worksheets/sheet17.xml" Id="Rf800d79f5fad4745" /><Relationship Type="http://schemas.openxmlformats.org/officeDocument/2006/relationships/worksheet" Target="/xl/worksheets/sheet18.xml" Id="R528d6d523d904ec5" /><Relationship Type="http://schemas.openxmlformats.org/officeDocument/2006/relationships/worksheet" Target="/xl/worksheets/sheet19.xml" Id="R382459b399fd476b" /><Relationship Type="http://schemas.openxmlformats.org/officeDocument/2006/relationships/worksheet" Target="/xl/worksheets/sheet20.xml" Id="R7097fef3c7b74c6e" /><Relationship Type="http://schemas.openxmlformats.org/officeDocument/2006/relationships/worksheet" Target="/xl/worksheets/sheet21.xml" Id="R8340f810f8b548ab" /><Relationship Type="http://schemas.openxmlformats.org/officeDocument/2006/relationships/worksheet" Target="/xl/worksheets/sheet22.xml" Id="R703ba40a88d244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d4612aa60d4717" /><Relationship Type="http://schemas.openxmlformats.org/officeDocument/2006/relationships/chart" Target="/xl/drawings/charts/chart2.xml" Id="R4fc3c60173d343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各方合成準備指數：前後比較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avg_readiness_before</c:v>
          </c:tx>
          <c:cat>
            <c:strRef>
              <c:f>'16_Dashboard'!$A$11:$A$13</c:f>
              <c:strCache>
                <c:ptCount val="0"/>
              </c:strCache>
            </c:strRef>
          </c:cat>
          <c:val>
            <c:numRef>
              <c:f>'16_Dashboard'!$B$11:$B$13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avg_readiness_after</c:v>
          </c:tx>
          <c:cat>
            <c:strRef>
              <c:f>'16_Dashboard'!$A$11:$A$13</c:f>
              <c:strCache>
                <c:ptCount val="0"/>
              </c:strCache>
            </c:strRef>
          </c:cat>
          <c:val>
            <c:numRef>
              <c:f>'16_Dashboard'!$C$11:$C$13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回合別合成準備指數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BLUE</c:v>
          </c:tx>
          <c:marker>
            <c:symbol val="none"/>
          </c:marker>
          <c:cat>
            <c:strRef>
              <c:f>'16_Dashboard'!$H$11:$H$22</c:f>
              <c:strCache>
                <c:ptCount val="0"/>
              </c:strCache>
            </c:strRef>
          </c:cat>
          <c:val>
            <c:numRef>
              <c:f>'16_Dashboard'!$I$11:$I$22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RED</c:v>
          </c:tx>
          <c:marker>
            <c:symbol val="none"/>
          </c:marker>
          <c:cat>
            <c:strRef>
              <c:f>'16_Dashboard'!$H$11:$H$22</c:f>
              <c:strCache>
                <c:ptCount val="0"/>
              </c:strCache>
            </c:strRef>
          </c:cat>
          <c:val>
            <c:numRef>
              <c:f>'16_Dashboard'!$J$11:$J$22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AMBER</c:v>
          </c:tx>
          <c:marker>
            <c:symbol val="none"/>
          </c:marker>
          <c:cat>
            <c:strRef>
              <c:f>'16_Dashboard'!$H$11:$H$22</c:f>
              <c:strCache>
                <c:ptCount val="0"/>
              </c:strCache>
            </c:strRef>
          </c:cat>
          <c:val>
            <c:numRef>
              <c:f>'16_Dashboard'!$K$11:$K$22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d4612aa60d4717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c3c60173d343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cSourcesTable" displayName="PublicSourcesTable" ref="A3:M19" headerRowCount="1">
  <x:tableColumns count="13">
    <x:tableColumn id="1" name="source_id"/>
    <x:tableColumn id="2" name="資料庫/來源"/>
    <x:tableColumn id="3" name="類別"/>
    <x:tableColumn id="4" name="發布者"/>
    <x:tableColumn id="5" name="存取"/>
    <x:tableColumn id="6" name="格式"/>
    <x:tableColumn id="7" name="可用欄位/內容"/>
    <x:tableColumn id="8" name="授權"/>
    <x:tableColumn id="9" name="更新"/>
    <x:tableColumn id="10" name="建議用途"/>
    <x:tableColumn id="11" name="主要限制"/>
    <x:tableColumn id="12" name="URL"/>
    <x:tableColumn id="13" name="查核日期"/>
  </x:tableColumns>
  <x:tableStyleInfo name="TableStyleMedium2" showRowStripes="1"/>
</x:table>
</file>

<file path=xl/tables/table2.xml><?xml version="1.0" encoding="utf-8"?>
<x:table xmlns:x="http://schemas.openxmlformats.org/spreadsheetml/2006/main" id="2" name="PublicActivityTable" displayName="PublicActivityTable" ref="A3:G8" headerRowCount="1">
  <x:tableColumns count="7">
    <x:tableColumn id="1" name="report_date"/>
    <x:tableColumn id="2" name="PLA_aircraft"/>
    <x:tableColumn id="3" name="PLAN_ships"/>
    <x:tableColumn id="4" name="official_ships"/>
    <x:tableColumn id="5" name="aircraft_cross_or_enter"/>
    <x:tableColumn id="6" name="摘要"/>
    <x:tableColumn id="7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ScenarioTable" displayName="ScenarioTable" ref="A3:L4" headerRowCount="1">
  <x:tableColumns count="12">
    <x:tableColumn id="1" name="scenario_id"/>
    <x:tableColumn id="2" name="scenario_name"/>
    <x:tableColumn id="3" name="data_class"/>
    <x:tableColumn id="4" name="level"/>
    <x:tableColumn id="5" name="turns"/>
    <x:tableColumn id="6" name="hours_per_turn"/>
    <x:tableColumn id="7" name="time_range"/>
    <x:tableColumn id="8" name="blue_actor"/>
    <x:tableColumn id="9" name="red_actor"/>
    <x:tableColumn id="10" name="amber_actor"/>
    <x:tableColumn id="11" name="learning_objectives"/>
    <x:tableColumn id="12" name="safety_note"/>
  </x:tableColumns>
  <x:tableStyleInfo name="TableStyleMedium2" showRowStripes="1"/>
</x:table>
</file>

<file path=xl/tables/table4.xml><?xml version="1.0" encoding="utf-8"?>
<x:table xmlns:x="http://schemas.openxmlformats.org/spreadsheetml/2006/main" id="4" name="ActorsTable" displayName="ActorsTable" ref="A3:F7" headerRowCount="1">
  <x:tableColumns count="6">
    <x:tableColumn id="1" name="actor_id"/>
    <x:tableColumn id="2" name="actor_name"/>
    <x:tableColumn id="3" name="role"/>
    <x:tableColumn id="4" name="primary_objective"/>
    <x:tableColumn id="5" name="constraints"/>
    <x:tableColumn id="6" name="class_assignment"/>
  </x:tableColumns>
  <x:tableStyleInfo name="TableStyleMedium2" showRowStripes="1"/>
</x:table>
</file>

<file path=xl/tables/table5.xml><?xml version="1.0" encoding="utf-8"?>
<x:table xmlns:x="http://schemas.openxmlformats.org/spreadsheetml/2006/main" id="5" name="ZonesTable" displayName="ZonesTable" ref="A3:H11" headerRowCount="1">
  <x:tableColumns count="8">
    <x:tableColumn id="1" name="zone_id"/>
    <x:tableColumn id="2" name="zone_name"/>
    <x:tableColumn id="3" name="domain"/>
    <x:tableColumn id="4" name="distance_band"/>
    <x:tableColumn id="5" name="activity_pressure"/>
    <x:tableColumn id="6" name="civilian_density"/>
    <x:tableColumn id="7" name="maneuver_space"/>
    <x:tableColumn id="8" name="teaching_note"/>
  </x:tableColumns>
  <x:tableStyleInfo name="TableStyleMedium2" showRowStripes="1"/>
</x:table>
</file>

<file path=xl/tables/table6.xml><?xml version="1.0" encoding="utf-8"?>
<x:table xmlns:x="http://schemas.openxmlformats.org/spreadsheetml/2006/main" id="6" name="ForcePackagesTable" displayName="ForcePackagesTable" ref="A3:L23" headerRowCount="1">
  <x:tableColumns count="12">
    <x:tableColumn id="1" name="package_id"/>
    <x:tableColumn id="2" name="actor_id"/>
    <x:tableColumn id="3" name="package_name"/>
    <x:tableColumn id="4" name="domain"/>
    <x:tableColumn id="5" name="start_zone"/>
    <x:tableColumn id="6" name="readiness"/>
    <x:tableColumn id="7" name="combat_effect"/>
    <x:tableColumn id="8" name="survivability"/>
    <x:tableColumn id="9" name="sustainment"/>
    <x:tableColumn id="10" name="command_quality"/>
    <x:tableColumn id="11" name="priority"/>
    <x:tableColumn id="12" name="data_type"/>
  </x:tableColumns>
  <x:tableStyleInfo name="TableStyleMedium2" showRowStripes="1"/>
</x:table>
</file>

<file path=xl/tables/table7.xml><?xml version="1.0" encoding="utf-8"?>
<x:table xmlns:x="http://schemas.openxmlformats.org/spreadsheetml/2006/main" id="7" name="CapabilitiesTable" displayName="CapabilitiesTable" ref="A3:L18" headerRowCount="1">
  <x:tableColumns count="12">
    <x:tableColumn id="1" name="capability_id"/>
    <x:tableColumn id="2" name="capability_name"/>
    <x:tableColumn id="3" name="actor_id"/>
    <x:tableColumn id="4" name="domain"/>
    <x:tableColumn id="5" name="role"/>
    <x:tableColumn id="6" name="sensor_index"/>
    <x:tableColumn id="7" name="reach_index"/>
    <x:tableColumn id="8" name="mobility_index"/>
    <x:tableColumn id="9" name="survivability_index"/>
    <x:tableColumn id="10" name="sustainment_index"/>
    <x:tableColumn id="11" name="cost_index"/>
    <x:tableColumn id="12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WeatherTable" displayName="WeatherTable" ref="A3:I99" headerRowCount="1">
  <x:tableColumns count="9">
    <x:tableColumn id="1" name="turn"/>
    <x:tableColumn id="2" name="hour_from_start"/>
    <x:tableColumn id="3" name="zone_id"/>
    <x:tableColumn id="4" name="sea_state_1_5"/>
    <x:tableColumn id="5" name="visibility_1_5"/>
    <x:tableColumn id="6" name="wind_kts"/>
    <x:tableColumn id="7" name="precip_probability_pct"/>
    <x:tableColumn id="8" name="scenario_note"/>
    <x:tableColumn id="9" name="data_type"/>
  </x:tableColumns>
  <x:tableStyleInfo name="TableStyleMedium2" showRowStripes="1"/>
</x:table>
</file>

<file path=xl/tables/table9.xml><?xml version="1.0" encoding="utf-8"?>
<x:table xmlns:x="http://schemas.openxmlformats.org/spreadsheetml/2006/main" id="9" name="IntelTable" displayName="IntelTable" ref="A3:L33" headerRowCount="1">
  <x:tableColumns count="12">
    <x:tableColumn id="1" name="report_id"/>
    <x:tableColumn id="2" name="turn"/>
    <x:tableColumn id="3" name="recipient_actor"/>
    <x:tableColumn id="4" name="zone_id"/>
    <x:tableColumn id="5" name="report_type"/>
    <x:tableColumn id="6" name="report_text"/>
    <x:tableColumn id="7" name="source_reliability"/>
    <x:tableColumn id="8" name="confidence_pct"/>
    <x:tableColumn id="9" name="assessed_level"/>
    <x:tableColumn id="10" name="teacher_truth_level"/>
    <x:tableColumn id="11" name="visibility"/>
    <x:tableColumn id="12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EventsTable" displayName="EventsTable" ref="A3:M15" headerRowCount="1">
  <x:tableColumns count="13">
    <x:tableColumn id="1" name="event_id"/>
    <x:tableColumn id="2" name="trigger_turn"/>
    <x:tableColumn id="3" name="event_name"/>
    <x:tableColumn id="4" name="category"/>
    <x:tableColumn id="5" name="zone_id"/>
    <x:tableColumn id="6" name="affected_actor"/>
    <x:tableColumn id="7" name="description"/>
    <x:tableColumn id="8" name="readiness_delta"/>
    <x:tableColumn id="9" name="mobility_delta"/>
    <x:tableColumn id="10" name="sustainment_delta"/>
    <x:tableColumn id="11" name="command_delta"/>
    <x:tableColumn id="12" name="civilian_risk_delta"/>
    <x:tableColumn id="13" name="trigger_type"/>
  </x:tableColumns>
  <x:tableStyleInfo name="TableStyleMedium2" showRowStripes="1"/>
</x:table>
</file>

<file path=xl/tables/table11.xml><?xml version="1.0" encoding="utf-8"?>
<x:table xmlns:x="http://schemas.openxmlformats.org/spreadsheetml/2006/main" id="11" name="OrdersTable" displayName="OrdersTable" ref="A3:J39" headerRowCount="1">
  <x:tableColumns count="10">
    <x:tableColumn id="1" name="order_id"/>
    <x:tableColumn id="2" name="turn"/>
    <x:tableColumn id="3" name="actor_id"/>
    <x:tableColumn id="4" name="zone_id"/>
    <x:tableColumn id="5" name="action"/>
    <x:tableColumn id="6" name="resource_points"/>
    <x:tableColumn id="7" name="risk_level_1_5"/>
    <x:tableColumn id="8" name="rationale"/>
    <x:tableColumn id="9" name="status"/>
    <x:tableColumn id="10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EngagementsTable" displayName="EngagementsTable" ref="A3:Q27" headerRowCount="1">
  <x:tableColumns count="17">
    <x:tableColumn id="1" name="engagement_id"/>
    <x:tableColumn id="2" name="turn"/>
    <x:tableColumn id="3" name="attacker"/>
    <x:tableColumn id="4" name="defender"/>
    <x:tableColumn id="5" name="zone_id"/>
    <x:tableColumn id="6" name="incoming_targets"/>
    <x:tableColumn id="7" name="interceptor_shots"/>
    <x:tableColumn id="8" name="base_p"/>
    <x:tableColumn id="9" name="detection_quality"/>
    <x:tableColumn id="10" name="readiness"/>
    <x:tableColumn id="11" name="sea_state"/>
    <x:tableColumn id="12" name="jamming_level"/>
    <x:tableColumn id="13" name="adjusted_p"/>
    <x:tableColumn id="14" name="at_least_one_success_p"/>
    <x:tableColumn id="15" name="adjudicated_outcome"/>
    <x:tableColumn id="16" name="damage_severity"/>
    <x:tableColumn id="17" name="safety_note"/>
  </x:tableColumns>
  <x:tableStyleInfo name="TableStyleMedium2" showRowStripes="1"/>
</x:table>
</file>

<file path=xl/tables/table13.xml><?xml version="1.0" encoding="utf-8"?>
<x:table xmlns:x="http://schemas.openxmlformats.org/spreadsheetml/2006/main" id="13" name="AttritionTable" displayName="AttritionTable" ref="A3:M33" headerRowCount="1">
  <x:tableColumns count="13">
    <x:tableColumn id="1" name="attrition_id"/>
    <x:tableColumn id="2" name="turn"/>
    <x:tableColumn id="3" name="package_id"/>
    <x:tableColumn id="4" name="actor_id"/>
    <x:tableColumn id="5" name="cause"/>
    <x:tableColumn id="6" name="readiness_before"/>
    <x:tableColumn id="7" name="readiness_loss"/>
    <x:tableColumn id="8" name="repair_gain"/>
    <x:tableColumn id="9" name="readiness_after"/>
    <x:tableColumn id="10" name="ammo_change_index"/>
    <x:tableColumn id="11" name="fuel_change_index"/>
    <x:tableColumn id="12" name="damage_level"/>
    <x:tableColumn id="13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InterceptLabTable" displayName="InterceptLabTable" ref="A3:M9" headerRowCount="1">
  <x:tableColumns count="13">
    <x:tableColumn id="1" name="case_id"/>
    <x:tableColumn id="2" name="case_name"/>
    <x:tableColumn id="3" name="incoming_targets"/>
    <x:tableColumn id="4" name="interceptor_shots"/>
    <x:tableColumn id="5" name="base_p"/>
    <x:tableColumn id="6" name="detection_quality"/>
    <x:tableColumn id="7" name="readiness"/>
    <x:tableColumn id="8" name="sea_state"/>
    <x:tableColumn id="9" name="jamming_level"/>
    <x:tableColumn id="10" name="adjusted_single_attempt_p"/>
    <x:tableColumn id="11" name="at_least_one_success_p"/>
    <x:tableColumn id="12" name="expected_residual_targets"/>
    <x:tableColumn id="13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DictionaryTable" displayName="DictionaryTable" ref="A3:E19" headerRowCount="1">
  <x:tableColumns count="5">
    <x:tableColumn id="1" name="table_name"/>
    <x:tableColumn id="2" name="field_name"/>
    <x:tableColumn id="3" name="data_type"/>
    <x:tableColumn id="4" name="description"/>
    <x:tableColumn id="5" name="data_cla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23f6ddf0914f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926a1903d84d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601426784841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23dd74037747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c9cd665e204d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79da9c9fcd45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e5f21b708249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800f02aee646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b4d9e5a60b4c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642d3d7df7849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bbf36f04e6845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cfd8db7de7c42a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ec9f2e18fc1449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02f511623444f7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97b370c5eae4c8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a42f39ca837543e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5" t="str">
        <x:v>臺海衝突教學兵推：公開來源目錄＋合成示範資料庫</x:v>
      </x:c>
    </x:row>
    <x:row r="3">
      <x:c r="A3" s="14" t="str">
        <x:v>項目</x:v>
      </x:c>
      <x:c r="B3" s="14" t="str">
        <x:v>內容</x:v>
      </x:c>
    </x:row>
    <x:row r="4">
      <x:c r="A4" s="22" t="str">
        <x:v>定位</x:v>
      </x:c>
      <x:c r="B4" s="26" t="str">
        <x:v>國防教育、兵棋推演流程設計、資料庫原型與課後檢討示範。</x:v>
      </x:c>
    </x:row>
    <x:row r="5">
      <x:c r="A5" s="22" t="str">
        <x:v>資料分層</x:v>
      </x:c>
      <x:c r="B5" s="26" t="str">
        <x:v>「真實公開來源」只保存來源描述與少量公告樣本；「合成情境資料」供系統功能展示。</x:v>
      </x:c>
    </x:row>
    <x:row r="6">
      <x:c r="A6" s="22" t="str">
        <x:v>安全邊界</x:v>
      </x:c>
      <x:c r="B6" s="26" t="str">
        <x:v>不含精確軍事座標、真實單位部署、現役庫存、弱點、射擊表或可靠的實戰命中/攔截率。</x:v>
      </x:c>
    </x:row>
    <x:row r="7">
      <x:c r="A7" s="22" t="str">
        <x:v>示範情境</x:v>
      </x:c>
      <x:c r="B7" s="26" t="str">
        <x:v>系統現有9種內建情境範本，並同步保存回合順序、戰略壓力、11項資源、行動與LLM供應商設定。</x:v>
      </x:c>
    </x:row>
    <x:row r="8">
      <x:c r="A8" s="22" t="str">
        <x:v>時間尺度</x:v>
      </x:c>
      <x:c r="B8" s="26" t="str">
        <x:v>12個回合，每回合6小時。</x:v>
      </x:c>
    </x:row>
    <x:row r="9">
      <x:c r="A9" s="22" t="str">
        <x:v>區域尺度</x:v>
      </x:c>
      <x:c r="B9" s="26" t="str">
        <x:v>只使用北/中/南海峽、東部外海、本島整體等抽象區域。</x:v>
      </x:c>
    </x:row>
    <x:row r="10">
      <x:c r="A10" s="22" t="str">
        <x:v>效能表示</x:v>
      </x:c>
      <x:c r="B10" s="26" t="str">
        <x:v>使用0–100準備指數、1–5能力指數與合成機率，不能對應真實武器。</x:v>
      </x:c>
    </x:row>
    <x:row r="11">
      <x:c r="A11" s="22" t="str">
        <x:v>建議用途</x:v>
      </x:c>
      <x:c r="B11" s="26" t="str">
        <x:v>課程展示、系統原型、資料表關聯、可視化、Monte Carlo與AAR功能驗證。</x:v>
      </x:c>
    </x:row>
    <x:row r="12">
      <x:c r="A12" t="str">
        <x:v>禁止用途</x:v>
      </x:c>
      <x:c r="B12" t="str">
        <x:v>不得用於真實目標選擇、武器配置、攔截規劃、漏洞分析或即時作戰支援。</x:v>
      </x:c>
    </x:row>
    <x:row r="13">
      <x:c r="A13" s="30" t="str">
        <x:v>資料表關聯：Scenario_Templates → Settings / Resources / Events；Actors → Force_Packages / Actions / Orders；Zones → Weather / Intelligence / Engagements</x:v>
      </x:c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42" hidden="0" customWidth="1"/>
    <x:col min="8" max="8" width="22" hidden="0" customWidth="1"/>
    <x:col min="9" max="9" width="14" hidden="0" customWidth="1"/>
    <x:col min="10" max="10" width="35" hidden="0" customWidth="1"/>
    <x:col min="11" max="11" width="45" hidden="0" customWidth="1"/>
    <x:col min="12" max="12" width="45" hidden="0" customWidth="1"/>
    <x:col min="13" max="13" width="14" hidden="0" customWidth="1"/>
  </x:cols>
  <x:sheetData>
    <x:row r="1" ht="30" customHeight="1">
      <x:c r="A1" s="5" t="str">
        <x:v>公開與商用資料來源目錄</x:v>
      </x:c>
    </x:row>
    <x:row r="3">
      <x:c r="A3" s="14" t="str">
        <x:v>source_id</x:v>
      </x:c>
      <x:c r="B3" s="14" t="str">
        <x:v>資料庫/來源</x:v>
      </x:c>
      <x:c r="C3" s="14" t="str">
        <x:v>類別</x:v>
      </x:c>
      <x:c r="D3" s="14" t="str">
        <x:v>發布者</x:v>
      </x:c>
      <x:c r="E3" s="14" t="str">
        <x:v>存取</x:v>
      </x:c>
      <x:c r="F3" s="14" t="str">
        <x:v>格式</x:v>
      </x:c>
      <x:c r="G3" s="14" t="str">
        <x:v>可用欄位/內容</x:v>
      </x:c>
      <x:c r="H3" s="14" t="str">
        <x:v>授權</x:v>
      </x:c>
      <x:c r="I3" s="14" t="str">
        <x:v>更新</x:v>
      </x:c>
      <x:c r="J3" s="14" t="str">
        <x:v>建議用途</x:v>
      </x:c>
      <x:c r="K3" s="14" t="str">
        <x:v>主要限制</x:v>
      </x:c>
      <x:c r="L3" s="14" t="str">
        <x:v>URL</x:v>
      </x:c>
      <x:c r="M3" s="14" t="str">
        <x:v>查核日期</x:v>
      </x:c>
    </x:row>
    <x:row r="4">
      <x:c r="A4" s="26" t="str">
        <x:v>SRC-001</x:v>
      </x:c>
      <x:c r="B4" s="26" t="str">
        <x:v>中共解放軍臺海周邊海、空域動態</x:v>
      </x:c>
      <x:c r="C4" s="26" t="str">
        <x:v>軍事活動/事件</x:v>
      </x:c>
      <x:c r="D4" s="26" t="str">
        <x:v>中華民國政府資料開放平臺、國防部</x:v>
      </x:c>
      <x:c r="E4" s="26" t="str">
        <x:v>官方公開</x:v>
      </x:c>
      <x:c r="F4" s="26" t="str">
        <x:v>CSV/網頁</x:v>
      </x:c>
      <x:c r="G4" s="26" t="str">
        <x:v>公告單位、內容簡介、公告URL、更新日期；每日活動詳情需沿公告連結取得</x:v>
      </x:c>
      <x:c r="H4" s="26" t="str">
        <x:v>政府資料開放授權條款第1版</x:v>
      </x:c>
      <x:c r="I4" s="26" t="str">
        <x:v>不定期/近每日</x:v>
      </x:c>
      <x:c r="J4" s="26" t="str">
        <x:v>建立公開事件時間軸、活動強度基線</x:v>
      </x:c>
      <x:c r="K4" s="26" t="str">
        <x:v>公開資料多為公告與示意圖，並非完整軌跡或作戰資料</x:v>
      </x:c>
      <x:c r="L4" s="26" t="str">
        <x:v>https://data.gov.tw/dataset/138118</x:v>
      </x:c>
      <x:c r="M4" s="26" t="str">
        <x:v>2026-07-27</x:v>
      </x:c>
    </x:row>
    <x:row r="5">
      <x:c r="A5" s="26" t="str">
        <x:v>SRC-002</x:v>
      </x:c>
      <x:c r="B5" s="26" t="str">
        <x:v>PLA Activities List</x:v>
      </x:c>
      <x:c r="C5" s="26" t="str">
        <x:v>軍事活動/事件</x:v>
      </x:c>
      <x:c r="D5" s="26" t="str">
        <x:v>中華民國國防部</x:v>
      </x:c>
      <x:c r="E5" s="26" t="str">
        <x:v>官方公開</x:v>
      </x:c>
      <x:c r="F5" s="26" t="str">
        <x:v>網頁</x:v>
      </x:c>
      <x:c r="G5" s="26" t="str">
        <x:v>每日偵獲軍機、軍艦、公務船數量及部分區域描述</x:v>
      </x:c>
      <x:c r="H5" s="26" t="str">
        <x:v>網站使用條款</x:v>
      </x:c>
      <x:c r="I5" s="26" t="str">
        <x:v>每日</x:v>
      </x:c>
      <x:c r="J5" s="26" t="str">
        <x:v>事件資料、趨勢統計、課堂情境起始資料</x:v>
      </x:c>
      <x:c r="K5" s="26" t="str">
        <x:v>部分內容為圖片，需自行結構化</x:v>
      </x:c>
      <x:c r="L5" s="26" t="str">
        <x:v>https://www.mnd.gov.tw/en/news/PlaactList</x:v>
      </x:c>
      <x:c r="M5" s="26" t="str">
        <x:v>2026-07-27</x:v>
      </x:c>
    </x:row>
    <x:row r="6">
      <x:c r="A6" s="26" t="str">
        <x:v>SRC-003</x:v>
      </x:c>
      <x:c r="B6" s="26" t="str">
        <x:v>Taiwan ADIZ Violations</x:v>
      </x:c>
      <x:c r="C6" s="26" t="str">
        <x:v>軍事活動/事件</x:v>
      </x:c>
      <x:c r="D6" s="26" t="str">
        <x:v>CSIS ChinaPower</x:v>
      </x:c>
      <x:c r="E6" s="26" t="str">
        <x:v>智庫公開</x:v>
      </x:c>
      <x:c r="F6" s="26" t="str">
        <x:v>Google Sheet/網頁</x:v>
      </x:c>
      <x:c r="G6" s="26" t="str">
        <x:v>中國軍機進入臺灣ADIZ及其他活動欄位</x:v>
      </x:c>
      <x:c r="H6" s="26" t="str">
        <x:v>依資料頁授權與引用規範</x:v>
      </x:c>
      <x:c r="I6" s="26" t="str">
        <x:v>持續更新</x:v>
      </x:c>
      <x:c r="J6" s="26" t="str">
        <x:v>長期趨勢、事件強度分析</x:v>
      </x:c>
      <x:c r="K6" s="26" t="str">
        <x:v>屬公開來源彙整，需核對原始公告</x:v>
      </x:c>
      <x:c r="L6" s="26" t="str">
        <x:v>https://chinapower.csis.org/data/taiwan-adiz-violations/</x:v>
      </x:c>
      <x:c r="M6" s="26" t="str">
        <x:v>2026-07-27</x:v>
      </x:c>
    </x:row>
    <x:row r="7">
      <x:c r="A7" s="26" t="str">
        <x:v>SRC-004</x:v>
      </x:c>
      <x:c r="B7" s="26" t="str">
        <x:v>Missile Threat</x:v>
      </x:c>
      <x:c r="C7" s="26" t="str">
        <x:v>武器系統公開資料</x:v>
      </x:c>
      <x:c r="D7" s="26" t="str">
        <x:v>CSIS Missile Defense Project</x:v>
      </x:c>
      <x:c r="E7" s="26" t="str">
        <x:v>智庫公開</x:v>
      </x:c>
      <x:c r="F7" s="26" t="str">
        <x:v>網頁</x:v>
      </x:c>
      <x:c r="G7" s="26" t="str">
        <x:v>各國飛彈與防空系統的公開性能、歷史與分析</x:v>
      </x:c>
      <x:c r="H7" s="26" t="str">
        <x:v>依網站授權與引用規範</x:v>
      </x:c>
      <x:c r="I7" s="26" t="str">
        <x:v>不定期</x:v>
      </x:c>
      <x:c r="J7" s="26" t="str">
        <x:v>建立武器類型、任務角色與公開性能區間</x:v>
      </x:c>
      <x:c r="K7" s="26" t="str">
        <x:v>不可直接當作實際命中率或作戰效能</x:v>
      </x:c>
      <x:c r="L7" s="26" t="str">
        <x:v>https://missilethreat.csis.org/missile/</x:v>
      </x:c>
      <x:c r="M7" s="26" t="str">
        <x:v>2026-07-27</x:v>
      </x:c>
    </x:row>
    <x:row r="8">
      <x:c r="A8" s="26" t="str">
        <x:v>SRC-005</x:v>
      </x:c>
      <x:c r="B8" s="26" t="str">
        <x:v>SIPRI Arms Transfers Database</x:v>
      </x:c>
      <x:c r="C8" s="26" t="str">
        <x:v>軍售/裝備移轉</x:v>
      </x:c>
      <x:c r="D8" s="26" t="str">
        <x:v>SIPRI</x:v>
      </x:c>
      <x:c r="E8" s="26" t="str">
        <x:v>研究公開</x:v>
      </x:c>
      <x:c r="F8" s="26" t="str">
        <x:v>查詢/CSV</x:v>
      </x:c>
      <x:c r="G8" s="26" t="str">
        <x:v>1950年至最近完整年度的主要傳統武器移轉</x:v>
      </x:c>
      <x:c r="H8" s="26" t="str">
        <x:v>依SIPRI使用與引用規範</x:v>
      </x:c>
      <x:c r="I8" s="26" t="str">
        <x:v>年度</x:v>
      </x:c>
      <x:c r="J8" s="26" t="str">
        <x:v>建立裝備取得時間線與來源國關係</x:v>
      </x:c>
      <x:c r="K8" s="26" t="str">
        <x:v>不提供完整現役數量、妥善率或戰備狀態</x:v>
      </x:c>
      <x:c r="L8" s="26" t="str">
        <x:v>https://www.sipri.org/databases/armstransfers</x:v>
      </x:c>
      <x:c r="M8" s="26" t="str">
        <x:v>2026-07-27</x:v>
      </x:c>
    </x:row>
    <x:row r="9">
      <x:c r="A9" s="26" t="str">
        <x:v>SRC-006</x:v>
      </x:c>
      <x:c r="B9" s="26" t="str">
        <x:v>Major Arms Sales</x:v>
      </x:c>
      <x:c r="C9" s="26" t="str">
        <x:v>軍售通知</x:v>
      </x:c>
      <x:c r="D9" s="26" t="str">
        <x:v>DSCA/美國政府</x:v>
      </x:c>
      <x:c r="E9" s="26" t="str">
        <x:v>官方公開</x:v>
      </x:c>
      <x:c r="F9" s="26" t="str">
        <x:v>網頁</x:v>
      </x:c>
      <x:c r="G9" s="26" t="str">
        <x:v>對外軍售國會通知、品項、估計金額與承包商</x:v>
      </x:c>
      <x:c r="H9" s="26" t="str">
        <x:v>美國政府公開資料</x:v>
      </x:c>
      <x:c r="I9" s="26" t="str">
        <x:v>事件更新</x:v>
      </x:c>
      <x:c r="J9" s="26" t="str">
        <x:v>補充臺美軍售案例與裝備類別</x:v>
      </x:c>
      <x:c r="K9" s="26" t="str">
        <x:v>通知金額與數量不等於最終交付或現役狀態</x:v>
      </x:c>
      <x:c r="L9" s="26" t="str">
        <x:v>https://www.dsca.mil/Press-Media/Major-Arms-Sales</x:v>
      </x:c>
      <x:c r="M9" s="26" t="str">
        <x:v>2026-07-27</x:v>
      </x:c>
    </x:row>
    <x:row r="10">
      <x:c r="A10" s="26" t="str">
        <x:v>SRC-007</x:v>
      </x:c>
      <x:c r="B10" s="26" t="str">
        <x:v>China Military Power Report 2025</x:v>
      </x:c>
      <x:c r="C10" s="26" t="str">
        <x:v>戰略/編裝公開評估</x:v>
      </x:c>
      <x:c r="D10" s="26" t="str">
        <x:v>美國國防部</x:v>
      </x:c>
      <x:c r="E10" s="26" t="str">
        <x:v>官方公開</x:v>
      </x:c>
      <x:c r="F10" s="26" t="str">
        <x:v>PDF</x:v>
      </x:c>
      <x:c r="G10" s="26" t="str">
        <x:v>中國軍事戰略、組織、能力與公開估計</x:v>
      </x:c>
      <x:c r="H10" s="26" t="str">
        <x:v>美國政府公開出版品</x:v>
      </x:c>
      <x:c r="I10" s="26" t="str">
        <x:v>年度</x:v>
      </x:c>
      <x:c r="J10" s="26" t="str">
        <x:v>背景敘事、能力分類、情境假設來源</x:v>
      </x:c>
      <x:c r="K10" s="26" t="str">
        <x:v>屬公開評估，數字可能為估計且需註明年份</x:v>
      </x:c>
      <x:c r="L10" s="26" t="str">
        <x:v>https://www.defense.gov/News/Publications/Search/china/</x:v>
      </x:c>
      <x:c r="M10" s="26" t="str">
        <x:v>2026-07-27</x:v>
      </x:c>
    </x:row>
    <x:row r="11">
      <x:c r="A11" s="26" t="str">
        <x:v>SRC-008</x:v>
      </x:c>
      <x:c r="B11" s="26" t="str">
        <x:v>National Material Capabilities v7.0</x:v>
      </x:c>
      <x:c r="C11" s="26" t="str">
        <x:v>國家能力/總體資料</x:v>
      </x:c>
      <x:c r="D11" s="26" t="str">
        <x:v>Correlates of War</x:v>
      </x:c>
      <x:c r="E11" s="26" t="str">
        <x:v>學術公開</x:v>
      </x:c>
      <x:c r="F11" s="26" t="str">
        <x:v>CSV/文件</x:v>
      </x:c>
      <x:c r="G11" s="26" t="str">
        <x:v>人口、軍費、軍事人員、能源等年度國家能力指標</x:v>
      </x:c>
      <x:c r="H11" s="26" t="str">
        <x:v>依COW資料授權與引用規範</x:v>
      </x:c>
      <x:c r="I11" s="26" t="str">
        <x:v>版本更新</x:v>
      </x:c>
      <x:c r="J11" s="26" t="str">
        <x:v>戰略層級背景與長期比較</x:v>
      </x:c>
      <x:c r="K11" s="26" t="str">
        <x:v>不適合用於戰術或單次交戰判定</x:v>
      </x:c>
      <x:c r="L11" s="26" t="str">
        <x:v>https://correlatesofwar.org/data-sets/national-material-capabilities/</x:v>
      </x:c>
      <x:c r="M11" s="26" t="str">
        <x:v>2026-07-27</x:v>
      </x:c>
    </x:row>
    <x:row r="12">
      <x:c r="A12" s="26" t="str">
        <x:v>SRC-009</x:v>
      </x:c>
      <x:c r="B12" s="26" t="str">
        <x:v>臺灣近海海面天氣預報</x:v>
      </x:c>
      <x:c r="C12" s="26" t="str">
        <x:v>氣象/海象</x:v>
      </x:c>
      <x:c r="D12" s="26" t="str">
        <x:v>交通部中央氣象署</x:v>
      </x:c>
      <x:c r="E12" s="26" t="str">
        <x:v>官方公開</x:v>
      </x:c>
      <x:c r="F12" s="26" t="str">
        <x:v>JSON API</x:v>
      </x:c>
      <x:c r="G12" s="26" t="str">
        <x:v>區域、氣象要素、起迄時間、參數名稱與數值</x:v>
      </x:c>
      <x:c r="H12" s="26" t="str">
        <x:v>政府資料開放授權條款第1版</x:v>
      </x:c>
      <x:c r="I12" s="26" t="str">
        <x:v>每6小時</x:v>
      </x:c>
      <x:c r="J12" s="26" t="str">
        <x:v>海象、能見度與任務限制條件</x:v>
      </x:c>
      <x:c r="K12" s="26" t="str">
        <x:v>預報資料應保留發布時間與不確定性</x:v>
      </x:c>
      <x:c r="L12" s="26" t="str">
        <x:v>https://data.gov.tw/en/datasets/7776</x:v>
      </x:c>
      <x:c r="M12" s="26" t="str">
        <x:v>2026-07-27</x:v>
      </x:c>
    </x:row>
    <x:row r="13">
      <x:c r="A13" s="26" t="str">
        <x:v>SRC-010</x:v>
      </x:c>
      <x:c r="B13" s="26" t="str">
        <x:v>ERA5</x:v>
      </x:c>
      <x:c r="C13" s="26" t="str">
        <x:v>氣象再分析</x:v>
      </x:c>
      <x:c r="D13" s="26" t="str">
        <x:v>Copernicus/ECMWF</x:v>
      </x:c>
      <x:c r="E13" s="26" t="str">
        <x:v>官方研究公開</x:v>
      </x:c>
      <x:c r="F13" s="26" t="str">
        <x:v>API/NetCDF</x:v>
      </x:c>
      <x:c r="G13" s="26" t="str">
        <x:v>1940年至今的逐時全球大氣、陸面與海況變數</x:v>
      </x:c>
      <x:c r="H13" s="26" t="str">
        <x:v>Copernicus資料授權</x:v>
      </x:c>
      <x:c r="I13" s="26" t="str">
        <x:v>持續更新</x:v>
      </x:c>
      <x:c r="J13" s="26" t="str">
        <x:v>歷史天候重建、季節性情境生成</x:v>
      </x:c>
      <x:c r="K13" s="26" t="str">
        <x:v>格點尺度不等同現地觀測</x:v>
      </x:c>
      <x:c r="L13" s="26" t="str">
        <x:v>https://cds.climate.copernicus.eu/datasets/reanalysis-era5-single-levels</x:v>
      </x:c>
      <x:c r="M13" s="26" t="str">
        <x:v>2026-07-27</x:v>
      </x:c>
    </x:row>
    <x:row r="14">
      <x:c r="A14" s="26" t="str">
        <x:v>SRC-011</x:v>
      </x:c>
      <x:c r="B14" s="26" t="str">
        <x:v>GEBCO Grid</x:v>
      </x:c>
      <x:c r="C14" s="26" t="str">
        <x:v>海底地形</x:v>
      </x:c>
      <x:c r="D14" s="26" t="str">
        <x:v>GEBCO/IHO/IOC</x:v>
      </x:c>
      <x:c r="E14" s="26" t="str">
        <x:v>國際公開</x:v>
      </x:c>
      <x:c r="F14" s="26" t="str">
        <x:v>NetCDF/GeoTIFF/WMS</x:v>
      </x:c>
      <x:c r="G14" s="26" t="str">
        <x:v>全球海底與陸地高程網格</x:v>
      </x:c>
      <x:c r="H14" s="26" t="str">
        <x:v>依GEBCO授權與引用規範</x:v>
      </x:c>
      <x:c r="I14" s="26" t="str">
        <x:v>版本更新</x:v>
      </x:c>
      <x:c r="J14" s="26" t="str">
        <x:v>海域地形與教學視覺化</x:v>
      </x:c>
      <x:c r="K14" s="26" t="str">
        <x:v>不可據此推導敏感航路或實際作戰部署</x:v>
      </x:c>
      <x:c r="L14" s="26" t="str">
        <x:v>https://www.gebco.net/data-products/gridded-bathymetry-data</x:v>
      </x:c>
      <x:c r="M14" s="26" t="str">
        <x:v>2026-07-27</x:v>
      </x:c>
    </x:row>
    <x:row r="15">
      <x:c r="A15" s="26" t="str">
        <x:v>SRC-012</x:v>
      </x:c>
      <x:c r="B15" s="26" t="str">
        <x:v>Natural Earth</x:v>
      </x:c>
      <x:c r="C15" s="26" t="str">
        <x:v>基礎地圖</x:v>
      </x:c>
      <x:c r="D15" s="26" t="str">
        <x:v>Natural Earth/NACIS</x:v>
      </x:c>
      <x:c r="E15" s="26" t="str">
        <x:v>公共領域</x:v>
      </x:c>
      <x:c r="F15" s="26" t="str">
        <x:v>SHP/GeoPackage/Raster</x:v>
      </x:c>
      <x:c r="G15" s="26" t="str">
        <x:v>國界、海岸線、地形與基礎地圖圖層</x:v>
      </x:c>
      <x:c r="H15" s="26" t="str">
        <x:v>Public Domain</x:v>
      </x:c>
      <x:c r="I15" s="26" t="str">
        <x:v>版本更新</x:v>
      </x:c>
      <x:c r="J15" s="26" t="str">
        <x:v>低敏感度戰略層級底圖</x:v>
      </x:c>
      <x:c r="K15" s="26" t="str">
        <x:v>解析度適合概略展示，不適合精細戰術模擬</x:v>
      </x:c>
      <x:c r="L15" s="26" t="str">
        <x:v>https://www.naturalearthdata.com/</x:v>
      </x:c>
      <x:c r="M15" s="26" t="str">
        <x:v>2026-07-27</x:v>
      </x:c>
    </x:row>
    <x:row r="16">
      <x:c r="A16" s="26" t="str">
        <x:v>SRC-013</x:v>
      </x:c>
      <x:c r="B16" s="26" t="str">
        <x:v>OpenStreetMap Taiwan Extract</x:v>
      </x:c>
      <x:c r="C16" s="26" t="str">
        <x:v>道路/地物</x:v>
      </x:c>
      <x:c r="D16" s="26" t="str">
        <x:v>OpenStreetMap/Geofabrik</x:v>
      </x:c>
      <x:c r="E16" s="26" t="str">
        <x:v>開放資料</x:v>
      </x:c>
      <x:c r="F16" s="26" t="str">
        <x:v>PBF/GeoPackage</x:v>
      </x:c>
      <x:c r="G16" s="26" t="str">
        <x:v>道路、水系、建物與一般地物</x:v>
      </x:c>
      <x:c r="H16" s="26" t="str">
        <x:v>ODbL</x:v>
      </x:c>
      <x:c r="I16" s="26" t="str">
        <x:v>每日/頻繁</x:v>
      </x:c>
      <x:c r="J16" s="26" t="str">
        <x:v>民事交通與疏散課程、一般底圖</x:v>
      </x:c>
      <x:c r="K16" s="26" t="str">
        <x:v>應避免直接匯入敏感設施與精確目標清單</x:v>
      </x:c>
      <x:c r="L16" s="26" t="str">
        <x:v>https://download.geofabrik.de/asia/taiwan.html</x:v>
      </x:c>
      <x:c r="M16" s="26" t="str">
        <x:v>2026-07-27</x:v>
      </x:c>
    </x:row>
    <x:row r="17">
      <x:c r="A17" s="26" t="str">
        <x:v>SRC-014</x:v>
      </x:c>
      <x:c r="B17" s="26" t="str">
        <x:v>UCDP Datasets</x:v>
      </x:c>
      <x:c r="C17" s="26" t="str">
        <x:v>衝突事件/傷亡</x:v>
      </x:c>
      <x:c r="D17" s="26" t="str">
        <x:v>Uppsala University</x:v>
      </x:c>
      <x:c r="E17" s="26" t="str">
        <x:v>學術公開</x:v>
      </x:c>
      <x:c r="F17" s="26" t="str">
        <x:v>CSV/R/Stata</x:v>
      </x:c>
      <x:c r="G17" s="26" t="str">
        <x:v>國家型、非國家型與單方面暴力事件及傷亡估計</x:v>
      </x:c>
      <x:c r="H17" s="26" t="str">
        <x:v>CC BY 4.0</x:v>
      </x:c>
      <x:c r="I17" s="26" t="str">
        <x:v>年度</x:v>
      </x:c>
      <x:c r="J17" s="26" t="str">
        <x:v>建立歷史衝突事件格式與傷亡不確定性方法</x:v>
      </x:c>
      <x:c r="K17" s="26" t="str">
        <x:v>臺海未發生對應大型戰爭，不能直接提供本情境折損率</x:v>
      </x:c>
      <x:c r="L17" s="26" t="str">
        <x:v>https://ucdp.uu.se/downloads/</x:v>
      </x:c>
      <x:c r="M17" s="26" t="str">
        <x:v>2026-07-27</x:v>
      </x:c>
    </x:row>
    <x:row r="18">
      <x:c r="A18" s="26" t="str">
        <x:v>SRC-015</x:v>
      </x:c>
      <x:c r="B18" s="26" t="str">
        <x:v>ACLED Data Export</x:v>
      </x:c>
      <x:c r="C18" s="26" t="str">
        <x:v>政治暴力/示威/事件</x:v>
      </x:c>
      <x:c r="D18" s="26" t="str">
        <x:v>ACLED</x:v>
      </x:c>
      <x:c r="E18" s="26" t="str">
        <x:v>註冊使用</x:v>
      </x:c>
      <x:c r="F18" s="26" t="str">
        <x:v>CSV/API</x:v>
      </x:c>
      <x:c r="G18" s="26" t="str">
        <x:v>事件日期、地點、行為者、事件類型與死亡數</x:v>
      </x:c>
      <x:c r="H18" s="26" t="str">
        <x:v>依ACLED EULA與引用政策</x:v>
      </x:c>
      <x:c r="I18" s="26" t="str">
        <x:v>近即時</x:v>
      </x:c>
      <x:c r="J18" s="26" t="str">
        <x:v>事件資料結構、灰色地帶與政治事件研究</x:v>
      </x:c>
      <x:c r="K18" s="26" t="str">
        <x:v>使用與再散布受條款限制</x:v>
      </x:c>
      <x:c r="L18" s="26" t="str">
        <x:v>https://acleddata.com/conflict-data/data-export-tool</x:v>
      </x:c>
      <x:c r="M18" s="26" t="str">
        <x:v>2026-07-27</x:v>
      </x:c>
    </x:row>
    <x:row r="19">
      <x:c r="A19" s="26" t="str">
        <x:v>SRC-016</x:v>
      </x:c>
      <x:c r="B19" s="26" t="str">
        <x:v>The Military Balance / Military Balance+</x:v>
      </x:c>
      <x:c r="C19" s="26" t="str">
        <x:v>編裝與軍力</x:v>
      </x:c>
      <x:c r="D19" s="26" t="str">
        <x:v>IISS</x:v>
      </x:c>
      <x:c r="E19" s="26" t="str">
        <x:v>付費商用</x:v>
      </x:c>
      <x:c r="F19" s="26" t="str">
        <x:v>書籍/資料庫</x:v>
      </x:c>
      <x:c r="G19" s="26" t="str">
        <x:v>各國軍力、裝備與編裝彙整</x:v>
      </x:c>
      <x:c r="H19" s="26" t="str">
        <x:v>商業授權</x:v>
      </x:c>
      <x:c r="I19" s="26" t="str">
        <x:v>年度/平台更新</x:v>
      </x:c>
      <x:c r="J19" s="26" t="str">
        <x:v>較完整的編裝參考</x:v>
      </x:c>
      <x:c r="K19" s="26" t="str">
        <x:v>非免費；仍不含可靠的即時妥善率與交戰效能</x:v>
      </x:c>
      <x:c r="L19" s="26" t="str">
        <x:v>https://www.iiss.org/</x:v>
      </x:c>
      <x:c r="M19" s="26" t="str">
        <x:v>2026-07-27</x:v>
      </x:c>
    </x:row>
  </x:sheetData>
  <x:mergeCells>
    <x:mergeCell ref="A1:M1"/>
  </x:mergeCells>
  <x:conditionalFormatting sqref="A4:M19">
    <x:cfRule type="expression" dxfId="0" priority="1">
      <x:formula>OR($E4="官方公開",$E4="智庫公開",$E4="研究公開",$E4="學術公開",$E4="開放資料",$E4="公共領域",$E4="國際公開")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23f6ddf0914f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42" hidden="0" customWidth="1"/>
    <x:col min="7" max="7" width="56" hidden="0" customWidth="1"/>
  </x:cols>
  <x:sheetData>
    <x:row r="1" ht="30" customHeight="1">
      <x:c r="A1" s="5" t="str">
        <x:v>國防部公開臺海周邊活動：少量結構化樣本</x:v>
      </x:c>
    </x:row>
    <x:row r="3">
      <x:c r="A3" s="14" t="str">
        <x:v>report_date</x:v>
      </x:c>
      <x:c r="B3" s="14" t="str">
        <x:v>PLA_aircraft</x:v>
      </x:c>
      <x:c r="C3" s="14" t="str">
        <x:v>PLAN_ships</x:v>
      </x:c>
      <x:c r="D3" s="14" t="str">
        <x:v>official_ships</x:v>
      </x:c>
      <x:c r="E3" s="14" t="str">
        <x:v>aircraft_cross_or_enter</x:v>
      </x:c>
      <x:c r="F3" s="14" t="str">
        <x:v>摘要</x:v>
      </x:c>
      <x:c r="G3" s="14" t="str">
        <x:v>source_url</x:v>
      </x:c>
    </x:row>
    <x:row r="4">
      <x:c r="A4" s="34" t="str">
        <x:v>2025-12-25</x:v>
      </x:c>
      <x:c r="B4" s="34" t="n">
        <x:v>6</x:v>
      </x:c>
      <x:c r="C4" s="34" t="n">
        <x:v>8</x:v>
      </x:c>
      <x:c r="D4" s="34" t="n">
        <x:v>1</x:v>
      </x:c>
      <x:c r="E4" s="34" t="n">
        <x:v>2</x:v>
      </x:c>
      <x:c r="F4" s="34" t="str">
        <x:v>2架越過海峽中線並進入西南ADIZ</x:v>
      </x:c>
      <x:c r="G4" s="34" t="str">
        <x:v>https://www.mnd.gov.tw/en/news/plaact/85577</x:v>
      </x:c>
    </x:row>
    <x:row r="5">
      <x:c r="A5" s="34" t="str">
        <x:v>2026-04-07</x:v>
      </x:c>
      <x:c r="B5" s="34" t="n">
        <x:v>1</x:v>
      </x:c>
      <x:c r="C5" s="34" t="n">
        <x:v>8</x:v>
      </x:c>
      <x:c r="D5" s="34" t="n">
        <x:v>1</x:v>
      </x:c>
      <x:c r="E5" s="34" t="n">
        <x:v>1</x:v>
      </x:c>
      <x:c r="F5" s="34" t="str">
        <x:v>1架進入西南ADIZ</x:v>
      </x:c>
      <x:c r="G5" s="34" t="str">
        <x:v>https://www.mnd.gov.tw/en/news/plaact/86443</x:v>
      </x:c>
    </x:row>
    <x:row r="6">
      <x:c r="A6" s="34" t="str">
        <x:v>2026-06-02</x:v>
      </x:c>
      <x:c r="B6" s="34" t="n">
        <x:v>7</x:v>
      </x:c>
      <x:c r="C6" s="34" t="n">
        <x:v>8</x:v>
      </x:c>
      <x:c r="D6" s="34" t="n">
        <x:v>5</x:v>
      </x:c>
      <x:c r="E6" s="34" t="n">
        <x:v>7</x:v>
      </x:c>
      <x:c r="F6" s="34" t="str">
        <x:v>7架進入西南ADIZ</x:v>
      </x:c>
      <x:c r="G6" s="34" t="str">
        <x:v>https://www.mnd.gov.tw/en/news/plaact/86767</x:v>
      </x:c>
    </x:row>
    <x:row r="7">
      <x:c r="A7" s="34" t="str">
        <x:v>2026-07-07</x:v>
      </x:c>
      <x:c r="B7" s="34" t="n">
        <x:v>4</x:v>
      </x:c>
      <x:c r="C7" s="34" t="n">
        <x:v>9</x:v>
      </x:c>
      <x:c r="D7" s="34" t="n">
        <x:v>3</x:v>
      </x:c>
      <x:c r="E7" s="34" t="n">
        <x:v>3</x:v>
      </x:c>
      <x:c r="F7" s="34" t="str">
        <x:v>3架越過中線並進入西南ADIZ</x:v>
      </x:c>
      <x:c r="G7" s="34" t="str">
        <x:v>https://air.mnd.gov.tw/EN/News/News_Detail.aspx?CID=214&amp;ID=59068</x:v>
      </x:c>
    </x:row>
    <x:row r="8">
      <x:c r="A8" s="34" t="str">
        <x:v>2026-07-15</x:v>
      </x:c>
      <x:c r="B8" s="34" t="n">
        <x:v>6</x:v>
      </x:c>
      <x:c r="C8" s="34" t="n">
        <x:v>7</x:v>
      </x:c>
      <x:c r="D8" s="34" t="n">
        <x:v>3</x:v>
      </x:c>
      <x:c r="E8" s="34" t="n">
        <x:v>1</x:v>
      </x:c>
      <x:c r="F8" s="34" t="str">
        <x:v>1架進入東部ADIZ</x:v>
      </x:c>
      <x:c r="G8" s="34" t="str">
        <x:v>https://air.mnd.gov.tw/EN/News/News_Detail.aspx?CID=214&amp;ID=59084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8926a1903d84d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0" hidden="0" customWidth="1"/>
    <x:col min="4" max="4" width="14" hidden="0" customWidth="1"/>
    <x:col min="5" max="5" width="10" hidden="0" customWidth="1"/>
    <x:col min="6" max="6" width="14" hidden="0" customWidth="1"/>
    <x:col min="7" max="7" width="16" hidden="0" customWidth="1"/>
    <x:col min="8" max="8" width="18" hidden="0" customWidth="1"/>
    <x:col min="9" max="9" width="20" hidden="0" customWidth="1"/>
    <x:col min="10" max="10" width="22" hidden="0" customWidth="1"/>
    <x:col min="11" max="11" width="52" hidden="0" customWidth="1"/>
    <x:col min="12" max="12" width="62" hidden="0" customWidth="1"/>
  </x:cols>
  <x:sheetData>
    <x:row r="1" ht="30" customHeight="1">
      <x:c r="A1" s="61" t="str">
        <x:v>九種內建合成情境主檔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3">
      <x:c r="A3" s="62" t="str">
        <x:v>scenario_id</x:v>
      </x:c>
      <x:c r="B3" s="62" t="str">
        <x:v>scenario_name</x:v>
      </x:c>
      <x:c r="C3" s="62" t="str">
        <x:v>template_key</x:v>
      </x:c>
      <x:c r="D3" s="62" t="str">
        <x:v>difficulty</x:v>
      </x:c>
      <x:c r="E3" s="62" t="str">
        <x:v>turns</x:v>
      </x:c>
      <x:c r="F3" s="62" t="str">
        <x:v>hours_per_turn</x:v>
      </x:c>
      <x:c r="G3" s="62" t="str">
        <x:v>time_range</x:v>
      </x:c>
      <x:c r="H3" s="62" t="str">
        <x:v>focus</x:v>
      </x:c>
      <x:c r="I3" s="62" t="str">
        <x:v>amber_support</x:v>
      </x:c>
      <x:c r="J3" s="62" t="str">
        <x:v>weather_preset</x:v>
      </x:c>
      <x:c r="K3" s="62" t="str">
        <x:v>turn_order_mode</x:v>
      </x:c>
      <x:c r="L3" s="62" t="str">
        <x:v>data_class</x:v>
      </x:c>
    </x:row>
    <x:row r="4">
      <x:c r="A4" s="56" t="str">
        <x:v>TS-TPL-001</x:v>
      </x:c>
      <x:c r="B4" s="56" t="str">
        <x:v>海峽警戒與有限封控：72小時聯合決策演練</x:v>
      </x:c>
      <x:c r="C4" s="56" t="str">
        <x:v>blockade</x:v>
      </x:c>
      <x:c r="D4" s="56" t="str">
        <x:v>standard</x:v>
      </x:c>
      <x:c r="E4" s="56" t="n">
        <x:v>12</x:v>
      </x:c>
      <x:c r="F4" s="56" t="n">
        <x:v>6</x:v>
      </x:c>
      <x:c r="G4" s="56" t="str">
        <x:v>T+0至T+72</x:v>
      </x:c>
      <x:c r="H4" s="56" t="str">
        <x:v>joint</x:v>
      </x:c>
      <x:c r="I4" s="56" t="str">
        <x:v>indirect</x:v>
      </x:c>
      <x:c r="J4" s="56" t="str">
        <x:v>variable</x:v>
      </x:c>
      <x:c r="K4" s="56" t="str">
        <x:v>simultaneous</x:v>
      </x:c>
      <x:c r="L4" s="56" t="str">
        <x:v>EDUCATIONAL_SYNTHETIC</x:v>
      </x:c>
    </x:row>
    <x:row r="5">
      <x:c r="A5" s="60" t="str">
        <x:v>TS-TPL-002</x:v>
      </x:c>
      <x:c r="B5" s="60" t="str">
        <x:v>多軸空情與分層防護：48小時資源配置演練</x:v>
      </x:c>
      <x:c r="C5" s="60" t="str">
        <x:v>airdefense</x:v>
      </x:c>
      <x:c r="D5" s="60" t="str">
        <x:v>advanced</x:v>
      </x:c>
      <x:c r="E5" s="60" t="n">
        <x:v>8</x:v>
      </x:c>
      <x:c r="F5" s="60" t="n">
        <x:v>6</x:v>
      </x:c>
      <x:c r="G5" s="60" t="str">
        <x:v>T+0至T+48</x:v>
      </x:c>
      <x:c r="H5" s="60" t="str">
        <x:v>airdefense</x:v>
      </x:c>
      <x:c r="I5" s="60" t="str">
        <x:v>indirect</x:v>
      </x:c>
      <x:c r="J5" s="60" t="str">
        <x:v>variable</x:v>
      </x:c>
      <x:c r="K5" s="60" t="str">
        <x:v>simultaneous</x:v>
      </x:c>
      <x:c r="L5" s="60" t="str">
        <x:v>EDUCATIONAL_SYNTHETIC</x:v>
      </x:c>
    </x:row>
    <x:row r="6">
      <x:c r="A6" s="56" t="str">
        <x:v>TS-TPL-003</x:v>
      </x:c>
      <x:c r="B6" s="56" t="str">
        <x:v>港口延誤與後勤韌性：96小時持續性演練</x:v>
      </x:c>
      <x:c r="C6" s="56" t="str">
        <x:v>logistics</x:v>
      </x:c>
      <x:c r="D6" s="56" t="str">
        <x:v>standard</x:v>
      </x:c>
      <x:c r="E6" s="56" t="n">
        <x:v>16</x:v>
      </x:c>
      <x:c r="F6" s="56" t="n">
        <x:v>6</x:v>
      </x:c>
      <x:c r="G6" s="56" t="str">
        <x:v>T+0至T+96</x:v>
      </x:c>
      <x:c r="H6" s="56" t="str">
        <x:v>logistics</x:v>
      </x:c>
      <x:c r="I6" s="56" t="str">
        <x:v>limited</x:v>
      </x:c>
      <x:c r="J6" s="56" t="str">
        <x:v>adverse</x:v>
      </x:c>
      <x:c r="K6" s="56" t="str">
        <x:v>simultaneous</x:v>
      </x:c>
      <x:c r="L6" s="56" t="str">
        <x:v>EDUCATIONAL_SYNTHETIC</x:v>
      </x:c>
    </x:row>
    <x:row r="7">
      <x:c r="A7" s="60" t="str">
        <x:v>TS-TPL-004</x:v>
      </x:c>
      <x:c r="B7" s="60" t="str">
        <x:v>灰色地帶與資訊迷霧：跨域判讀演練</x:v>
      </x:c>
      <x:c r="C7" s="60" t="str">
        <x:v>grayzone</x:v>
      </x:c>
      <x:c r="D7" s="60" t="str">
        <x:v>advanced</x:v>
      </x:c>
      <x:c r="E7" s="60" t="n">
        <x:v>10</x:v>
      </x:c>
      <x:c r="F7" s="60" t="n">
        <x:v>6</x:v>
      </x:c>
      <x:c r="G7" s="60" t="str">
        <x:v>T+0至T+60</x:v>
      </x:c>
      <x:c r="H7" s="60" t="str">
        <x:v>intelligence</x:v>
      </x:c>
      <x:c r="I7" s="60" t="str">
        <x:v>indirect</x:v>
      </x:c>
      <x:c r="J7" s="60" t="str">
        <x:v>stable</x:v>
      </x:c>
      <x:c r="K7" s="60" t="str">
        <x:v>simultaneous</x:v>
      </x:c>
      <x:c r="L7" s="60" t="str">
        <x:v>EDUCATIONAL_SYNTHETIC</x:v>
      </x:c>
    </x:row>
    <x:row r="8">
      <x:c r="A8" s="56" t="str">
        <x:v>TS-TPL-005</x:v>
      </x:c>
      <x:c r="B8" s="56" t="str">
        <x:v>人道疏散與民事協調：危機韌性演練</x:v>
      </x:c>
      <x:c r="C8" s="56" t="str">
        <x:v>humanitarian</x:v>
      </x:c>
      <x:c r="D8" s="56" t="str">
        <x:v>standard</x:v>
      </x:c>
      <x:c r="E8" s="56" t="n">
        <x:v>10</x:v>
      </x:c>
      <x:c r="F8" s="56" t="n">
        <x:v>6</x:v>
      </x:c>
      <x:c r="G8" s="56" t="str">
        <x:v>T+0至T+60</x:v>
      </x:c>
      <x:c r="H8" s="56" t="str">
        <x:v>civil</x:v>
      </x:c>
      <x:c r="I8" s="56" t="str">
        <x:v>limited</x:v>
      </x:c>
      <x:c r="J8" s="56" t="str">
        <x:v>variable</x:v>
      </x:c>
      <x:c r="K8" s="56" t="str">
        <x:v>simultaneous</x:v>
      </x:c>
      <x:c r="L8" s="56" t="str">
        <x:v>EDUCATIONAL_SYNTHETIC</x:v>
      </x:c>
    </x:row>
    <x:row r="9">
      <x:c r="A9" s="60" t="str">
        <x:v>TS-TPL-006</x:v>
      </x:c>
      <x:c r="B9" s="60" t="str">
        <x:v>危機降溫與外交窗口：升級控制演練</x:v>
      </x:c>
      <x:c r="C9" s="60" t="str">
        <x:v>deescalation</x:v>
      </x:c>
      <x:c r="D9" s="60" t="str">
        <x:v>advanced</x:v>
      </x:c>
      <x:c r="E9" s="60" t="n">
        <x:v>8</x:v>
      </x:c>
      <x:c r="F9" s="60" t="n">
        <x:v>6</x:v>
      </x:c>
      <x:c r="G9" s="60" t="str">
        <x:v>T+0至T+48</x:v>
      </x:c>
      <x:c r="H9" s="60" t="str">
        <x:v>diplomacy</x:v>
      </x:c>
      <x:c r="I9" s="60" t="str">
        <x:v>indirect</x:v>
      </x:c>
      <x:c r="J9" s="60" t="str">
        <x:v>stable</x:v>
      </x:c>
      <x:c r="K9" s="60" t="str">
        <x:v>simultaneous</x:v>
      </x:c>
      <x:c r="L9" s="60" t="str">
        <x:v>EDUCATIONAL_SYNTHETIC</x:v>
      </x:c>
    </x:row>
    <x:row r="10">
      <x:c r="A10" s="56" t="str">
        <x:v>TS-TPL-007</x:v>
      </x:c>
      <x:c r="B10" s="56" t="str">
        <x:v>CSIS《燈火管制》（2025）：封鎖、護航與能源韌性</x:v>
      </x:c>
      <x:c r="C10" s="56" t="str">
        <x:v>csis_blackout_2025</x:v>
      </x:c>
      <x:c r="D10" s="56" t="str">
        <x:v>advanced</x:v>
      </x:c>
      <x:c r="E10" s="56" t="n">
        <x:v>20</x:v>
      </x:c>
      <x:c r="F10" s="56" t="n">
        <x:v>12</x:v>
      </x:c>
      <x:c r="G10" s="56" t="str">
        <x:v>T+0至T+240</x:v>
      </x:c>
      <x:c r="H10" s="56" t="str">
        <x:v>logistics</x:v>
      </x:c>
      <x:c r="I10" s="56" t="str">
        <x:v>limited</x:v>
      </x:c>
      <x:c r="J10" s="56" t="str">
        <x:v>variable</x:v>
      </x:c>
      <x:c r="K10" s="56" t="str">
        <x:v>red_first</x:v>
      </x:c>
      <x:c r="L10" s="56" t="str">
        <x:v>EDUCATIONAL_SYNTHETIC</x:v>
      </x:c>
    </x:row>
    <x:row r="11">
      <x:c r="A11" s="60" t="str">
        <x:v>TS-TPL-008</x:v>
      </x:c>
      <x:c r="B11" s="60" t="str">
        <x:v>CSIS &amp; MIT（2024）：傳統戰局與核升級風險</x:v>
      </x:c>
      <x:c r="C11" s="60" t="str">
        <x:v>csis_mit_nuclear_2024</x:v>
      </x:c>
      <x:c r="D11" s="60" t="str">
        <x:v>advanced</x:v>
      </x:c>
      <x:c r="E11" s="60" t="n">
        <x:v>12</x:v>
      </x:c>
      <x:c r="F11" s="60" t="n">
        <x:v>6</x:v>
      </x:c>
      <x:c r="G11" s="60" t="str">
        <x:v>T+0至T+72</x:v>
      </x:c>
      <x:c r="H11" s="60" t="str">
        <x:v>diplomacy</x:v>
      </x:c>
      <x:c r="I11" s="60" t="str">
        <x:v>limited</x:v>
      </x:c>
      <x:c r="J11" s="60" t="str">
        <x:v>stable</x:v>
      </x:c>
      <x:c r="K11" s="60" t="str">
        <x:v>simultaneous</x:v>
      </x:c>
      <x:c r="L11" s="60" t="str">
        <x:v>EDUCATIONAL_SYNTHETIC</x:v>
      </x:c>
    </x:row>
    <x:row r="12">
      <x:c r="A12" s="56" t="str">
        <x:v>TS-TPL-009</x:v>
      </x:c>
      <x:c r="B12" s="56" t="str">
        <x:v>美國國會 × CNAS：一週彈藥耗盡與全球經濟衝擊</x:v>
      </x:c>
      <x:c r="C12" s="56" t="str">
        <x:v>cnas_policy_war</x:v>
      </x:c>
      <x:c r="D12" s="56" t="str">
        <x:v>advanced</x:v>
      </x:c>
      <x:c r="E12" s="56" t="n">
        <x:v>14</x:v>
      </x:c>
      <x:c r="F12" s="56" t="n">
        <x:v>12</x:v>
      </x:c>
      <x:c r="G12" s="56" t="str">
        <x:v>T+0至T+168</x:v>
      </x:c>
      <x:c r="H12" s="56" t="str">
        <x:v>joint</x:v>
      </x:c>
      <x:c r="I12" s="56" t="str">
        <x:v>limited</x:v>
      </x:c>
      <x:c r="J12" s="56" t="str">
        <x:v>variable</x:v>
      </x:c>
      <x:c r="K12" s="56" t="str">
        <x:v>red_first</x:v>
      </x:c>
      <x:c r="L12" s="56" t="str">
        <x:v>EDUCATIONAL_SYNTHETIC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9601426784841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48" hidden="0" customWidth="1"/>
    <x:col min="5" max="5" width="48" hidden="0" customWidth="1"/>
    <x:col min="6" max="6" width="18" hidden="0" customWidth="1"/>
  </x:cols>
  <x:sheetData>
    <x:row r="1" ht="30" customHeight="1">
      <x:c r="A1" s="5" t="str">
        <x:v>角色與任務</x:v>
      </x:c>
    </x:row>
    <x:row r="3">
      <x:c r="A3" s="14" t="str">
        <x:v>actor_id</x:v>
      </x:c>
      <x:c r="B3" s="14" t="str">
        <x:v>actor_name</x:v>
      </x:c>
      <x:c r="C3" s="14" t="str">
        <x:v>role</x:v>
      </x:c>
      <x:c r="D3" s="14" t="str">
        <x:v>primary_objective</x:v>
      </x:c>
      <x:c r="E3" s="14" t="str">
        <x:v>constraints</x:v>
      </x:c>
      <x:c r="F3" s="14" t="str">
        <x:v>class_assignment</x:v>
      </x:c>
    </x:row>
    <x:row r="4">
      <x:c r="A4" s="36" t="str">
        <x:v>BLUE</x:v>
      </x:c>
      <x:c r="B4" s="36" t="str">
        <x:v>藍方（臺灣）</x:v>
      </x:c>
      <x:c r="C4" s="36" t="str">
        <x:v>防衛方</x:v>
      </x:c>
      <x:c r="D4" s="36" t="str">
        <x:v>維持關鍵海空通道、保護人口與指揮韌性</x:v>
      </x:c>
      <x:c r="E4" s="36" t="str">
        <x:v>避免升高衝突並保存持續作戰能力</x:v>
      </x:c>
      <x:c r="F4" s="36" t="str">
        <x:v>學生組</x:v>
      </x:c>
    </x:row>
    <x:row r="5">
      <x:c r="A5" s="36" t="str">
        <x:v>RED</x:v>
      </x:c>
      <x:c r="B5" s="36" t="str">
        <x:v>紅方（中國大陸）</x:v>
      </x:c>
      <x:c r="C5" s="36" t="str">
        <x:v>施壓方</x:v>
      </x:c>
      <x:c r="D5" s="36" t="str">
        <x:v>建立有限封控效果並迫使對方改變政策</x:v>
      </x:c>
      <x:c r="E5" s="36" t="str">
        <x:v>控制升級、維持行動節奏與資訊優勢</x:v>
      </x:c>
      <x:c r="F5" s="36" t="str">
        <x:v>學生組</x:v>
      </x:c>
    </x:row>
    <x:row r="6">
      <x:c r="A6" s="36" t="str">
        <x:v>AMBER</x:v>
      </x:c>
      <x:c r="B6" s="36" t="str">
        <x:v>琥珀方（美軍支援）</x:v>
      </x:c>
      <x:c r="C6" s="36" t="str">
        <x:v>外部支援方</x:v>
      </x:c>
      <x:c r="D6" s="36" t="str">
        <x:v>提供情監偵、後勤、外交與有限度防護支援</x:v>
      </x:c>
      <x:c r="E6" s="36" t="str">
        <x:v>避免直接擴大為全面衝突</x:v>
      </x:c>
      <x:c r="F6" s="36" t="str">
        <x:v>學生或教師組</x:v>
      </x:c>
    </x:row>
    <x:row r="7">
      <x:c r="A7" s="36" t="str">
        <x:v>WHITE</x:v>
      </x:c>
      <x:c r="B7" s="36" t="str">
        <x:v>白方（導調/民事）</x:v>
      </x:c>
      <x:c r="C7" s="36" t="str">
        <x:v>裁判與中立方</x:v>
      </x:c>
      <x:c r="D7" s="36" t="str">
        <x:v>控制事件、民事影響、法律與外交反應</x:v>
      </x:c>
      <x:c r="E7" s="36" t="str">
        <x:v>維持教學公平並記錄裁決依據</x:v>
      </x:c>
      <x:c r="F7" s="36" t="str">
        <x:v>教師/助教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723dd74037747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</x:cols>
  <x:sheetData>
    <x:row r="1" ht="30" customHeight="1">
      <x:c r="A1" s="5" t="str">
        <x:v>抽象作戰區域（無精確座標）</x:v>
      </x:c>
    </x:row>
    <x:row r="3">
      <x:c r="A3" s="14" t="str">
        <x:v>zone_id</x:v>
      </x:c>
      <x:c r="B3" s="14" t="str">
        <x:v>zone_name</x:v>
      </x:c>
      <x:c r="C3" s="14" t="str">
        <x:v>domain</x:v>
      </x:c>
      <x:c r="D3" s="14" t="str">
        <x:v>distance_band</x:v>
      </x:c>
      <x:c r="E3" s="14" t="str">
        <x:v>activity_pressure</x:v>
      </x:c>
      <x:c r="F3" s="14" t="str">
        <x:v>civilian_density</x:v>
      </x:c>
      <x:c r="G3" s="14" t="str">
        <x:v>maneuver_space</x:v>
      </x:c>
      <x:c r="H3" s="14" t="str">
        <x:v>teaching_note</x:v>
      </x:c>
    </x:row>
    <x:row r="4">
      <x:c r="A4" s="36" t="str">
        <x:v>Z-NW</x:v>
      </x:c>
      <x:c r="B4" s="36" t="str">
        <x:v>北部海峽區</x:v>
      </x:c>
      <x:c r="C4" s="36" t="str">
        <x:v>海域</x:v>
      </x:c>
      <x:c r="D4" s="36" t="str">
        <x:v>近岸/海峽</x:v>
      </x:c>
      <x:c r="E4" s="36" t="str">
        <x:v>中</x:v>
      </x:c>
      <x:c r="F4" s="36" t="str">
        <x:v>高</x:v>
      </x:c>
      <x:c r="G4" s="36" t="str">
        <x:v>中</x:v>
      </x:c>
      <x:c r="H4" s="36" t="str">
        <x:v>重要商船與空運通道；不含精確座標</x:v>
      </x:c>
    </x:row>
    <x:row r="5">
      <x:c r="A5" s="36" t="str">
        <x:v>Z-CW</x:v>
      </x:c>
      <x:c r="B5" s="36" t="str">
        <x:v>中部海峽區</x:v>
      </x:c>
      <x:c r="C5" s="36" t="str">
        <x:v>海域</x:v>
      </x:c>
      <x:c r="D5" s="36" t="str">
        <x:v>海峽中央</x:v>
      </x:c>
      <x:c r="E5" s="36" t="str">
        <x:v>高</x:v>
      </x:c>
      <x:c r="F5" s="36" t="str">
        <x:v>中</x:v>
      </x:c>
      <x:c r="G5" s="36" t="str">
        <x:v>高</x:v>
      </x:c>
      <x:c r="H5" s="36" t="str">
        <x:v>主要活動與識別壓力區</x:v>
      </x:c>
    </x:row>
    <x:row r="6">
      <x:c r="A6" s="36" t="str">
        <x:v>Z-SW</x:v>
      </x:c>
      <x:c r="B6" s="36" t="str">
        <x:v>南部海峽區</x:v>
      </x:c>
      <x:c r="C6" s="36" t="str">
        <x:v>海域</x:v>
      </x:c>
      <x:c r="D6" s="36" t="str">
        <x:v>近岸/外海</x:v>
      </x:c>
      <x:c r="E6" s="36" t="str">
        <x:v>高</x:v>
      </x:c>
      <x:c r="F6" s="36" t="str">
        <x:v>高</x:v>
      </x:c>
      <x:c r="G6" s="36" t="str">
        <x:v>中</x:v>
      </x:c>
      <x:c r="H6" s="36" t="str">
        <x:v>海空交通與海象變化較大</x:v>
      </x:c>
    </x:row>
    <x:row r="7">
      <x:c r="A7" s="36" t="str">
        <x:v>Z-NE</x:v>
      </x:c>
      <x:c r="B7" s="36" t="str">
        <x:v>東北外海區</x:v>
      </x:c>
      <x:c r="C7" s="36" t="str">
        <x:v>海域</x:v>
      </x:c>
      <x:c r="D7" s="36" t="str">
        <x:v>外海</x:v>
      </x:c>
      <x:c r="E7" s="36" t="str">
        <x:v>中</x:v>
      </x:c>
      <x:c r="F7" s="36" t="str">
        <x:v>低</x:v>
      </x:c>
      <x:c r="G7" s="36" t="str">
        <x:v>高</x:v>
      </x:c>
      <x:c r="H7" s="36" t="str">
        <x:v>外部支援與商船繞行可能區</x:v>
      </x:c>
    </x:row>
    <x:row r="8">
      <x:c r="A8" s="36" t="str">
        <x:v>Z-E</x:v>
      </x:c>
      <x:c r="B8" s="36" t="str">
        <x:v>東部外海區</x:v>
      </x:c>
      <x:c r="C8" s="36" t="str">
        <x:v>海域</x:v>
      </x:c>
      <x:c r="D8" s="36" t="str">
        <x:v>外海</x:v>
      </x:c>
      <x:c r="E8" s="36" t="str">
        <x:v>中</x:v>
      </x:c>
      <x:c r="F8" s="36" t="str">
        <x:v>低</x:v>
      </x:c>
      <x:c r="G8" s="36" t="str">
        <x:v>高</x:v>
      </x:c>
      <x:c r="H8" s="36" t="str">
        <x:v>深水外海與長距離支援區</x:v>
      </x:c>
    </x:row>
    <x:row r="9">
      <x:c r="A9" s="36" t="str">
        <x:v>Z-SE</x:v>
      </x:c>
      <x:c r="B9" s="36" t="str">
        <x:v>東南外海區</x:v>
      </x:c>
      <x:c r="C9" s="36" t="str">
        <x:v>海域</x:v>
      </x:c>
      <x:c r="D9" s="36" t="str">
        <x:v>外海</x:v>
      </x:c>
      <x:c r="E9" s="36" t="str">
        <x:v>中</x:v>
      </x:c>
      <x:c r="F9" s="36" t="str">
        <x:v>中</x:v>
      </x:c>
      <x:c r="G9" s="36" t="str">
        <x:v>中</x:v>
      </x:c>
      <x:c r="H9" s="36" t="str">
        <x:v>南向補給與疏散路線</x:v>
      </x:c>
    </x:row>
    <x:row r="10">
      <x:c r="A10" s="36" t="str">
        <x:v>Z-ISL</x:v>
      </x:c>
      <x:c r="B10" s="36" t="str">
        <x:v>本島整體區</x:v>
      </x:c>
      <x:c r="C10" s="36" t="str">
        <x:v>陸域</x:v>
      </x:c>
      <x:c r="D10" s="36" t="str">
        <x:v>城鎮/山地</x:v>
      </x:c>
      <x:c r="E10" s="36" t="str">
        <x:v>低</x:v>
      </x:c>
      <x:c r="F10" s="36" t="str">
        <x:v>高</x:v>
      </x:c>
      <x:c r="G10" s="36" t="str">
        <x:v>中</x:v>
      </x:c>
      <x:c r="H10" s="36" t="str">
        <x:v>民事韌性、指揮、後勤與修復；不列精確設施</x:v>
      </x:c>
    </x:row>
    <x:row r="11">
      <x:c r="A11" s="36" t="str">
        <x:v>Z-REAR</x:v>
      </x:c>
      <x:c r="B11" s="36" t="str">
        <x:v>遠端支援區</x:v>
      </x:c>
      <x:c r="C11" s="36" t="str">
        <x:v>遠端</x:v>
      </x:c>
      <x:c r="D11" s="36" t="str">
        <x:v>區域外</x:v>
      </x:c>
      <x:c r="E11" s="36" t="str">
        <x:v>低</x:v>
      </x:c>
      <x:c r="F11" s="36" t="str">
        <x:v>低</x:v>
      </x:c>
      <x:c r="G11" s="36" t="str">
        <x:v>高</x:v>
      </x:c>
      <x:c r="H11" s="36" t="str">
        <x:v>琥珀方遠端情監偵、後勤與外交支援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2c9cd665e204d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0" hidden="0" customWidth="1"/>
    <x:col min="12" max="12" width="12" hidden="0" customWidth="1"/>
  </x:cols>
  <x:sheetData>
    <x:row r="1" ht="30" customHeight="1">
      <x:c r="A1" s="5" t="str">
        <x:v>合成兵力包與初始狀態</x:v>
      </x:c>
    </x:row>
    <x:row r="3">
      <x:c r="A3" s="14" t="str">
        <x:v>package_id</x:v>
      </x:c>
      <x:c r="B3" s="14" t="str">
        <x:v>actor_id</x:v>
      </x:c>
      <x:c r="C3" s="14" t="str">
        <x:v>package_name</x:v>
      </x:c>
      <x:c r="D3" s="14" t="str">
        <x:v>domain</x:v>
      </x:c>
      <x:c r="E3" s="14" t="str">
        <x:v>start_zone</x:v>
      </x:c>
      <x:c r="F3" s="14" t="str">
        <x:v>readiness</x:v>
      </x:c>
      <x:c r="G3" s="14" t="str">
        <x:v>combat_effect</x:v>
      </x:c>
      <x:c r="H3" s="14" t="str">
        <x:v>survivability</x:v>
      </x:c>
      <x:c r="I3" s="14" t="str">
        <x:v>sustainment</x:v>
      </x:c>
      <x:c r="J3" s="14" t="str">
        <x:v>command_quality</x:v>
      </x:c>
      <x:c r="K3" s="14" t="str">
        <x:v>priority</x:v>
      </x:c>
      <x:c r="L3" s="14" t="str">
        <x:v>data_type</x:v>
      </x:c>
    </x:row>
    <x:row r="4">
      <x:c r="A4" s="36" t="str">
        <x:v>B-C2-01</x:v>
      </x:c>
      <x:c r="B4" s="36" t="str">
        <x:v>BLUE</x:v>
      </x:c>
      <x:c r="C4" s="36" t="str">
        <x:v>聯合指揮韌性群</x:v>
      </x:c>
      <x:c r="D4" s="36" t="str">
        <x:v>C2</x:v>
      </x:c>
      <x:c r="E4" s="36" t="str">
        <x:v>Z-ISL</x:v>
      </x:c>
      <x:c r="F4" s="36" t="n">
        <x:v>82</x:v>
      </x:c>
      <x:c r="G4" s="36" t="n">
        <x:v>78</x:v>
      </x:c>
      <x:c r="H4" s="36" t="n">
        <x:v>90</x:v>
      </x:c>
      <x:c r="I4" s="36" t="n">
        <x:v>72</x:v>
      </x:c>
      <x:c r="J4" s="36" t="n">
        <x:v>76</x:v>
      </x:c>
      <x:c r="K4" s="36" t="n">
        <x:v>4</x:v>
      </x:c>
      <x:c r="L4" s="36" t="str">
        <x:v>合成</x:v>
      </x:c>
    </x:row>
    <x:row r="5">
      <x:c r="A5" s="36" t="str">
        <x:v>B-AD-01</x:v>
      </x:c>
      <x:c r="B5" s="36" t="str">
        <x:v>BLUE</x:v>
      </x:c>
      <x:c r="C5" s="36" t="str">
        <x:v>區域防空群A</x:v>
      </x:c>
      <x:c r="D5" s="36" t="str">
        <x:v>防空</x:v>
      </x:c>
      <x:c r="E5" s="36" t="str">
        <x:v>Z-NW</x:v>
      </x:c>
      <x:c r="F5" s="36" t="n">
        <x:v>76</x:v>
      </x:c>
      <x:c r="G5" s="36" t="n">
        <x:v>84</x:v>
      </x:c>
      <x:c r="H5" s="36" t="n">
        <x:v>68</x:v>
      </x:c>
      <x:c r="I5" s="36" t="n">
        <x:v>74</x:v>
      </x:c>
      <x:c r="J5" s="36" t="n">
        <x:v>65</x:v>
      </x:c>
      <x:c r="K5" s="36" t="n">
        <x:v>5</x:v>
      </x:c>
      <x:c r="L5" s="36" t="str">
        <x:v>合成</x:v>
      </x:c>
    </x:row>
    <x:row r="6">
      <x:c r="A6" s="36" t="str">
        <x:v>B-AD-02</x:v>
      </x:c>
      <x:c r="B6" s="36" t="str">
        <x:v>BLUE</x:v>
      </x:c>
      <x:c r="C6" s="36" t="str">
        <x:v>區域防空群B</x:v>
      </x:c>
      <x:c r="D6" s="36" t="str">
        <x:v>防空</x:v>
      </x:c>
      <x:c r="E6" s="36" t="str">
        <x:v>Z-SW</x:v>
      </x:c>
      <x:c r="F6" s="36" t="n">
        <x:v>73</x:v>
      </x:c>
      <x:c r="G6" s="36" t="n">
        <x:v>82</x:v>
      </x:c>
      <x:c r="H6" s="36" t="n">
        <x:v>66</x:v>
      </x:c>
      <x:c r="I6" s="36" t="n">
        <x:v>70</x:v>
      </x:c>
      <x:c r="J6" s="36" t="n">
        <x:v>62</x:v>
      </x:c>
      <x:c r="K6" s="36" t="n">
        <x:v>5</x:v>
      </x:c>
      <x:c r="L6" s="36" t="str">
        <x:v>合成</x:v>
      </x:c>
    </x:row>
    <x:row r="7">
      <x:c r="A7" s="36" t="str">
        <x:v>B-AIR-01</x:v>
      </x:c>
      <x:c r="B7" s="36" t="str">
        <x:v>BLUE</x:v>
      </x:c>
      <x:c r="C7" s="36" t="str">
        <x:v>空中巡防群</x:v>
      </x:c>
      <x:c r="D7" s="36" t="str">
        <x:v>航空</x:v>
      </x:c>
      <x:c r="E7" s="36" t="str">
        <x:v>Z-CW</x:v>
      </x:c>
      <x:c r="F7" s="36" t="n">
        <x:v>70</x:v>
      </x:c>
      <x:c r="G7" s="36" t="n">
        <x:v>75</x:v>
      </x:c>
      <x:c r="H7" s="36" t="n">
        <x:v>72</x:v>
      </x:c>
      <x:c r="I7" s="36" t="n">
        <x:v>68</x:v>
      </x:c>
      <x:c r="J7" s="36" t="n">
        <x:v>60</x:v>
      </x:c>
      <x:c r="K7" s="36" t="n">
        <x:v>4</x:v>
      </x:c>
      <x:c r="L7" s="36" t="str">
        <x:v>合成</x:v>
      </x:c>
    </x:row>
    <x:row r="8">
      <x:c r="A8" s="36" t="str">
        <x:v>B-NAV-01</x:v>
      </x:c>
      <x:c r="B8" s="36" t="str">
        <x:v>BLUE</x:v>
      </x:c>
      <x:c r="C8" s="36" t="str">
        <x:v>近海巡防群</x:v>
      </x:c>
      <x:c r="D8" s="36" t="str">
        <x:v>海軍</x:v>
      </x:c>
      <x:c r="E8" s="36" t="str">
        <x:v>Z-NW</x:v>
      </x:c>
      <x:c r="F8" s="36" t="n">
        <x:v>68</x:v>
      </x:c>
      <x:c r="G8" s="36" t="n">
        <x:v>72</x:v>
      </x:c>
      <x:c r="H8" s="36" t="n">
        <x:v>74</x:v>
      </x:c>
      <x:c r="I8" s="36" t="n">
        <x:v>66</x:v>
      </x:c>
      <x:c r="J8" s="36" t="n">
        <x:v>58</x:v>
      </x:c>
      <x:c r="K8" s="36" t="n">
        <x:v>4</x:v>
      </x:c>
      <x:c r="L8" s="36" t="str">
        <x:v>合成</x:v>
      </x:c>
    </x:row>
    <x:row r="9">
      <x:c r="A9" s="36" t="str">
        <x:v>B-NAV-02</x:v>
      </x:c>
      <x:c r="B9" s="36" t="str">
        <x:v>BLUE</x:v>
      </x:c>
      <x:c r="C9" s="36" t="str">
        <x:v>南部海上巡防群</x:v>
      </x:c>
      <x:c r="D9" s="36" t="str">
        <x:v>海軍</x:v>
      </x:c>
      <x:c r="E9" s="36" t="str">
        <x:v>Z-SW</x:v>
      </x:c>
      <x:c r="F9" s="36" t="n">
        <x:v>66</x:v>
      </x:c>
      <x:c r="G9" s="36" t="n">
        <x:v>70</x:v>
      </x:c>
      <x:c r="H9" s="36" t="n">
        <x:v>72</x:v>
      </x:c>
      <x:c r="I9" s="36" t="n">
        <x:v>64</x:v>
      </x:c>
      <x:c r="J9" s="36" t="n">
        <x:v>56</x:v>
      </x:c>
      <x:c r="K9" s="36" t="n">
        <x:v>4</x:v>
      </x:c>
      <x:c r="L9" s="36" t="str">
        <x:v>合成</x:v>
      </x:c>
    </x:row>
    <x:row r="10">
      <x:c r="A10" s="36" t="str">
        <x:v>B-LOG-01</x:v>
      </x:c>
      <x:c r="B10" s="36" t="str">
        <x:v>BLUE</x:v>
      </x:c>
      <x:c r="C10" s="36" t="str">
        <x:v>聯合後勤群</x:v>
      </x:c>
      <x:c r="D10" s="36" t="str">
        <x:v>後勤</x:v>
      </x:c>
      <x:c r="E10" s="36" t="str">
        <x:v>Z-ISL</x:v>
      </x:c>
      <x:c r="F10" s="36" t="n">
        <x:v>88</x:v>
      </x:c>
      <x:c r="G10" s="36" t="n">
        <x:v>60</x:v>
      </x:c>
      <x:c r="H10" s="36" t="n">
        <x:v>82</x:v>
      </x:c>
      <x:c r="I10" s="36" t="n">
        <x:v>92</x:v>
      </x:c>
      <x:c r="J10" s="36" t="n">
        <x:v>95</x:v>
      </x:c>
      <x:c r="K10" s="36" t="n">
        <x:v>3</x:v>
      </x:c>
      <x:c r="L10" s="36" t="str">
        <x:v>合成</x:v>
      </x:c>
    </x:row>
    <x:row r="11">
      <x:c r="A11" s="36" t="str">
        <x:v>B-CIV-01</x:v>
      </x:c>
      <x:c r="B11" s="36" t="str">
        <x:v>BLUE</x:v>
      </x:c>
      <x:c r="C11" s="36" t="str">
        <x:v>民事韌性協調群</x:v>
      </x:c>
      <x:c r="D11" s="36" t="str">
        <x:v>民事</x:v>
      </x:c>
      <x:c r="E11" s="36" t="str">
        <x:v>Z-ISL</x:v>
      </x:c>
      <x:c r="F11" s="36" t="n">
        <x:v>90</x:v>
      </x:c>
      <x:c r="G11" s="36" t="n">
        <x:v>35</x:v>
      </x:c>
      <x:c r="H11" s="36" t="n">
        <x:v>88</x:v>
      </x:c>
      <x:c r="I11" s="36" t="n">
        <x:v>86</x:v>
      </x:c>
      <x:c r="J11" s="36" t="n">
        <x:v>92</x:v>
      </x:c>
      <x:c r="K11" s="36" t="n">
        <x:v>2</x:v>
      </x:c>
      <x:c r="L11" s="36" t="str">
        <x:v>合成</x:v>
      </x:c>
    </x:row>
    <x:row r="12">
      <x:c r="A12" s="36" t="str">
        <x:v>R-C2-01</x:v>
      </x:c>
      <x:c r="B12" s="36" t="str">
        <x:v>RED</x:v>
      </x:c>
      <x:c r="C12" s="36" t="str">
        <x:v>聯合任務指揮群</x:v>
      </x:c>
      <x:c r="D12" s="36" t="str">
        <x:v>C2</x:v>
      </x:c>
      <x:c r="E12" s="36" t="str">
        <x:v>Z-CW</x:v>
      </x:c>
      <x:c r="F12" s="36" t="n">
        <x:v>85</x:v>
      </x:c>
      <x:c r="G12" s="36" t="n">
        <x:v>80</x:v>
      </x:c>
      <x:c r="H12" s="36" t="n">
        <x:v>88</x:v>
      </x:c>
      <x:c r="I12" s="36" t="n">
        <x:v>78</x:v>
      </x:c>
      <x:c r="J12" s="36" t="n">
        <x:v>82</x:v>
      </x:c>
      <x:c r="K12" s="36" t="n">
        <x:v>4</x:v>
      </x:c>
      <x:c r="L12" s="36" t="str">
        <x:v>合成</x:v>
      </x:c>
    </x:row>
    <x:row r="13">
      <x:c r="A13" s="36" t="str">
        <x:v>R-AIR-01</x:v>
      </x:c>
      <x:c r="B13" s="36" t="str">
        <x:v>RED</x:v>
      </x:c>
      <x:c r="C13" s="36" t="str">
        <x:v>空中施壓群A</x:v>
      </x:c>
      <x:c r="D13" s="36" t="str">
        <x:v>航空</x:v>
      </x:c>
      <x:c r="E13" s="36" t="str">
        <x:v>Z-NW</x:v>
      </x:c>
      <x:c r="F13" s="36" t="n">
        <x:v>80</x:v>
      </x:c>
      <x:c r="G13" s="36" t="n">
        <x:v>82</x:v>
      </x:c>
      <x:c r="H13" s="36" t="n">
        <x:v>76</x:v>
      </x:c>
      <x:c r="I13" s="36" t="n">
        <x:v>74</x:v>
      </x:c>
      <x:c r="J13" s="36" t="n">
        <x:v>68</x:v>
      </x:c>
      <x:c r="K13" s="36" t="n">
        <x:v>5</x:v>
      </x:c>
      <x:c r="L13" s="36" t="str">
        <x:v>合成</x:v>
      </x:c>
    </x:row>
    <x:row r="14">
      <x:c r="A14" s="36" t="str">
        <x:v>R-AIR-02</x:v>
      </x:c>
      <x:c r="B14" s="36" t="str">
        <x:v>RED</x:v>
      </x:c>
      <x:c r="C14" s="36" t="str">
        <x:v>空中施壓群B</x:v>
      </x:c>
      <x:c r="D14" s="36" t="str">
        <x:v>航空</x:v>
      </x:c>
      <x:c r="E14" s="36" t="str">
        <x:v>Z-SW</x:v>
      </x:c>
      <x:c r="F14" s="36" t="n">
        <x:v>78</x:v>
      </x:c>
      <x:c r="G14" s="36" t="n">
        <x:v>80</x:v>
      </x:c>
      <x:c r="H14" s="36" t="n">
        <x:v>74</x:v>
      </x:c>
      <x:c r="I14" s="36" t="n">
        <x:v>72</x:v>
      </x:c>
      <x:c r="J14" s="36" t="n">
        <x:v>66</x:v>
      </x:c>
      <x:c r="K14" s="36" t="n">
        <x:v>5</x:v>
      </x:c>
      <x:c r="L14" s="36" t="str">
        <x:v>合成</x:v>
      </x:c>
    </x:row>
    <x:row r="15">
      <x:c r="A15" s="36" t="str">
        <x:v>R-NAV-01</x:v>
      </x:c>
      <x:c r="B15" s="36" t="str">
        <x:v>RED</x:v>
      </x:c>
      <x:c r="C15" s="36" t="str">
        <x:v>海上封控群A</x:v>
      </x:c>
      <x:c r="D15" s="36" t="str">
        <x:v>海軍</x:v>
      </x:c>
      <x:c r="E15" s="36" t="str">
        <x:v>Z-CW</x:v>
      </x:c>
      <x:c r="F15" s="36" t="n">
        <x:v>82</x:v>
      </x:c>
      <x:c r="G15" s="36" t="n">
        <x:v>78</x:v>
      </x:c>
      <x:c r="H15" s="36" t="n">
        <x:v>80</x:v>
      </x:c>
      <x:c r="I15" s="36" t="n">
        <x:v>76</x:v>
      </x:c>
      <x:c r="J15" s="36" t="n">
        <x:v>72</x:v>
      </x:c>
      <x:c r="K15" s="36" t="n">
        <x:v>5</x:v>
      </x:c>
      <x:c r="L15" s="36" t="str">
        <x:v>合成</x:v>
      </x:c>
    </x:row>
    <x:row r="16">
      <x:c r="A16" s="36" t="str">
        <x:v>R-NAV-02</x:v>
      </x:c>
      <x:c r="B16" s="36" t="str">
        <x:v>RED</x:v>
      </x:c>
      <x:c r="C16" s="36" t="str">
        <x:v>海上封控群B</x:v>
      </x:c>
      <x:c r="D16" s="36" t="str">
        <x:v>海軍</x:v>
      </x:c>
      <x:c r="E16" s="36" t="str">
        <x:v>Z-SE</x:v>
      </x:c>
      <x:c r="F16" s="36" t="n">
        <x:v>76</x:v>
      </x:c>
      <x:c r="G16" s="36" t="n">
        <x:v>74</x:v>
      </x:c>
      <x:c r="H16" s="36" t="n">
        <x:v>78</x:v>
      </x:c>
      <x:c r="I16" s="36" t="n">
        <x:v>70</x:v>
      </x:c>
      <x:c r="J16" s="36" t="n">
        <x:v>68</x:v>
      </x:c>
      <x:c r="K16" s="36" t="n">
        <x:v>4</x:v>
      </x:c>
      <x:c r="L16" s="36" t="str">
        <x:v>合成</x:v>
      </x:c>
    </x:row>
    <x:row r="17">
      <x:c r="A17" s="36" t="str">
        <x:v>R-STR-01</x:v>
      </x:c>
      <x:c r="B17" s="36" t="str">
        <x:v>RED</x:v>
      </x:c>
      <x:c r="C17" s="36" t="str">
        <x:v>遠程打擊示範群</x:v>
      </x:c>
      <x:c r="D17" s="36" t="str">
        <x:v>遠程火力</x:v>
      </x:c>
      <x:c r="E17" s="36" t="str">
        <x:v>Z-REAR</x:v>
      </x:c>
      <x:c r="F17" s="36" t="n">
        <x:v>86</x:v>
      </x:c>
      <x:c r="G17" s="36" t="n">
        <x:v>84</x:v>
      </x:c>
      <x:c r="H17" s="36" t="n">
        <x:v>70</x:v>
      </x:c>
      <x:c r="I17" s="36" t="n">
        <x:v>65</x:v>
      </x:c>
      <x:c r="J17" s="36" t="n">
        <x:v>72</x:v>
      </x:c>
      <x:c r="K17" s="36" t="n">
        <x:v>5</x:v>
      </x:c>
      <x:c r="L17" s="36" t="str">
        <x:v>合成</x:v>
      </x:c>
    </x:row>
    <x:row r="18">
      <x:c r="A18" s="36" t="str">
        <x:v>R-EW-01</x:v>
      </x:c>
      <x:c r="B18" s="36" t="str">
        <x:v>RED</x:v>
      </x:c>
      <x:c r="C18" s="36" t="str">
        <x:v>電磁與資訊支援群</x:v>
      </x:c>
      <x:c r="D18" s="36" t="str">
        <x:v>電子戰</x:v>
      </x:c>
      <x:c r="E18" s="36" t="str">
        <x:v>Z-CW</x:v>
      </x:c>
      <x:c r="F18" s="36" t="n">
        <x:v>84</x:v>
      </x:c>
      <x:c r="G18" s="36" t="n">
        <x:v>78</x:v>
      </x:c>
      <x:c r="H18" s="36" t="n">
        <x:v>80</x:v>
      </x:c>
      <x:c r="I18" s="36" t="n">
        <x:v>70</x:v>
      </x:c>
      <x:c r="J18" s="36" t="n">
        <x:v>76</x:v>
      </x:c>
      <x:c r="K18" s="36" t="n">
        <x:v>4</x:v>
      </x:c>
      <x:c r="L18" s="36" t="str">
        <x:v>合成</x:v>
      </x:c>
    </x:row>
    <x:row r="19">
      <x:c r="A19" s="36" t="str">
        <x:v>A-ISR-01</x:v>
      </x:c>
      <x:c r="B19" s="36" t="str">
        <x:v>AMBER</x:v>
      </x:c>
      <x:c r="C19" s="36" t="str">
        <x:v>遠端情監偵支援群</x:v>
      </x:c>
      <x:c r="D19" s="36" t="str">
        <x:v>ISR</x:v>
      </x:c>
      <x:c r="E19" s="36" t="str">
        <x:v>Z-REAR</x:v>
      </x:c>
      <x:c r="F19" s="36" t="n">
        <x:v>90</x:v>
      </x:c>
      <x:c r="G19" s="36" t="n">
        <x:v>65</x:v>
      </x:c>
      <x:c r="H19" s="36" t="n">
        <x:v>92</x:v>
      </x:c>
      <x:c r="I19" s="36" t="n">
        <x:v>88</x:v>
      </x:c>
      <x:c r="J19" s="36" t="n">
        <x:v>90</x:v>
      </x:c>
      <x:c r="K19" s="36" t="n">
        <x:v>3</x:v>
      </x:c>
      <x:c r="L19" s="36" t="str">
        <x:v>合成</x:v>
      </x:c>
    </x:row>
    <x:row r="20">
      <x:c r="A20" s="36" t="str">
        <x:v>A-LOG-01</x:v>
      </x:c>
      <x:c r="B20" s="36" t="str">
        <x:v>AMBER</x:v>
      </x:c>
      <x:c r="C20" s="36" t="str">
        <x:v>區域後勤支援群</x:v>
      </x:c>
      <x:c r="D20" s="36" t="str">
        <x:v>後勤</x:v>
      </x:c>
      <x:c r="E20" s="36" t="str">
        <x:v>Z-REAR</x:v>
      </x:c>
      <x:c r="F20" s="36" t="n">
        <x:v>92</x:v>
      </x:c>
      <x:c r="G20" s="36" t="n">
        <x:v>50</x:v>
      </x:c>
      <x:c r="H20" s="36" t="n">
        <x:v>88</x:v>
      </x:c>
      <x:c r="I20" s="36" t="n">
        <x:v>94</x:v>
      </x:c>
      <x:c r="J20" s="36" t="n">
        <x:v>96</x:v>
      </x:c>
      <x:c r="K20" s="36" t="n">
        <x:v>3</x:v>
      </x:c>
      <x:c r="L20" s="36" t="str">
        <x:v>合成</x:v>
      </x:c>
    </x:row>
    <x:row r="21">
      <x:c r="A21" s="36" t="str">
        <x:v>A-NAV-01</x:v>
      </x:c>
      <x:c r="B21" s="36" t="str">
        <x:v>AMBER</x:v>
      </x:c>
      <x:c r="C21" s="36" t="str">
        <x:v>遠距海上存在群</x:v>
      </x:c>
      <x:c r="D21" s="36" t="str">
        <x:v>海軍</x:v>
      </x:c>
      <x:c r="E21" s="36" t="str">
        <x:v>Z-E</x:v>
      </x:c>
      <x:c r="F21" s="36" t="n">
        <x:v>84</x:v>
      </x:c>
      <x:c r="G21" s="36" t="n">
        <x:v>72</x:v>
      </x:c>
      <x:c r="H21" s="36" t="n">
        <x:v>86</x:v>
      </x:c>
      <x:c r="I21" s="36" t="n">
        <x:v>86</x:v>
      </x:c>
      <x:c r="J21" s="36" t="n">
        <x:v>82</x:v>
      </x:c>
      <x:c r="K21" s="36" t="n">
        <x:v>4</x:v>
      </x:c>
      <x:c r="L21" s="36" t="str">
        <x:v>合成</x:v>
      </x:c>
    </x:row>
    <x:row r="22">
      <x:c r="A22" s="36" t="str">
        <x:v>A-CYB-01</x:v>
      </x:c>
      <x:c r="B22" s="36" t="str">
        <x:v>AMBER</x:v>
      </x:c>
      <x:c r="C22" s="36" t="str">
        <x:v>網路防護顧問群</x:v>
      </x:c>
      <x:c r="D22" s="36" t="str">
        <x:v>網路</x:v>
      </x:c>
      <x:c r="E22" s="36" t="str">
        <x:v>Z-REAR</x:v>
      </x:c>
      <x:c r="F22" s="36" t="n">
        <x:v>88</x:v>
      </x:c>
      <x:c r="G22" s="36" t="n">
        <x:v>58</x:v>
      </x:c>
      <x:c r="H22" s="36" t="n">
        <x:v>90</x:v>
      </x:c>
      <x:c r="I22" s="36" t="n">
        <x:v>92</x:v>
      </x:c>
      <x:c r="J22" s="36" t="n">
        <x:v>94</x:v>
      </x:c>
      <x:c r="K22" s="36" t="n">
        <x:v>3</x:v>
      </x:c>
      <x:c r="L22" s="36" t="str">
        <x:v>合成</x:v>
      </x:c>
    </x:row>
    <x:row r="23">
      <x:c r="A23" s="36" t="str">
        <x:v>W-CIV-01</x:v>
      </x:c>
      <x:c r="B23" s="36" t="str">
        <x:v>WHITE</x:v>
      </x:c>
      <x:c r="C23" s="36" t="str">
        <x:v>商船與人道協調群</x:v>
      </x:c>
      <x:c r="D23" s="36" t="str">
        <x:v>民事</x:v>
      </x:c>
      <x:c r="E23" s="36" t="str">
        <x:v>Z-CW</x:v>
      </x:c>
      <x:c r="F23" s="36" t="n">
        <x:v>95</x:v>
      </x:c>
      <x:c r="G23" s="36" t="n">
        <x:v>10</x:v>
      </x:c>
      <x:c r="H23" s="36" t="n">
        <x:v>70</x:v>
      </x:c>
      <x:c r="I23" s="36" t="n">
        <x:v>88</x:v>
      </x:c>
      <x:c r="J23" s="36" t="n">
        <x:v>90</x:v>
      </x:c>
      <x:c r="K23" s="36" t="n">
        <x:v>1</x:v>
      </x:c>
      <x:c r="L23" s="36" t="str">
        <x:v>合成</x:v>
      </x:c>
    </x:row>
    <x:row r="24">
      <x:c r="A24" s="56" t="str">
        <x:v>B-UAS-01</x:v>
      </x:c>
      <x:c r="B24" s="56" t="str">
        <x:v>BLUE</x:v>
      </x:c>
      <x:c r="C24" s="56" t="str">
        <x:v>無人機偵察與通訊中繼群</x:v>
      </x:c>
      <x:c r="D24" s="56" t="str">
        <x:v>無人系統</x:v>
      </x:c>
      <x:c r="E24" s="56" t="str">
        <x:v>Z-ISL</x:v>
      </x:c>
      <x:c r="F24" s="56" t="n">
        <x:v>78</x:v>
      </x:c>
      <x:c r="G24" s="56" t="n">
        <x:v>60</x:v>
      </x:c>
      <x:c r="H24" s="56" t="n">
        <x:v>72</x:v>
      </x:c>
      <x:c r="I24" s="56" t="n">
        <x:v>74</x:v>
      </x:c>
      <x:c r="J24" s="56" t="n">
        <x:v>80</x:v>
      </x:c>
      <x:c r="K24" s="56" t="n">
        <x:v>3</x:v>
      </x:c>
      <x:c r="L24" s="56" t="str">
        <x:v>合成</x:v>
      </x:c>
    </x:row>
    <x:row r="25">
      <x:c r="A25" s="60" t="str">
        <x:v>B-COM-01</x:v>
      </x:c>
      <x:c r="B25" s="60" t="str">
        <x:v>BLUE</x:v>
      </x:c>
      <x:c r="C25" s="60" t="str">
        <x:v>韌性衛星通訊節點群</x:v>
      </x:c>
      <x:c r="D25" s="60" t="str">
        <x:v>衛星通訊</x:v>
      </x:c>
      <x:c r="E25" s="60" t="str">
        <x:v>Z-ISL</x:v>
      </x:c>
      <x:c r="F25" s="60" t="n">
        <x:v>84</x:v>
      </x:c>
      <x:c r="G25" s="60" t="n">
        <x:v>30</x:v>
      </x:c>
      <x:c r="H25" s="60" t="n">
        <x:v>82</x:v>
      </x:c>
      <x:c r="I25" s="60" t="n">
        <x:v>88</x:v>
      </x:c>
      <x:c r="J25" s="60" t="n">
        <x:v>92</x:v>
      </x:c>
      <x:c r="K25" s="60" t="n">
        <x:v>4</x:v>
      </x:c>
      <x:c r="L25" s="60" t="str">
        <x:v>合成</x:v>
      </x:c>
    </x:row>
    <x:row r="26">
      <x:c r="A26" s="56" t="str">
        <x:v>A-HAP-01</x:v>
      </x:c>
      <x:c r="B26" s="56" t="str">
        <x:v>AMBER</x:v>
      </x:c>
      <x:c r="C26" s="56" t="str">
        <x:v>衛星與高空通訊支援群</x:v>
      </x:c>
      <x:c r="D26" s="56" t="str">
        <x:v>高空通訊</x:v>
      </x:c>
      <x:c r="E26" s="56" t="str">
        <x:v>Z-REAR</x:v>
      </x:c>
      <x:c r="F26" s="56" t="n">
        <x:v>90</x:v>
      </x:c>
      <x:c r="G26" s="56" t="n">
        <x:v>35</x:v>
      </x:c>
      <x:c r="H26" s="56" t="n">
        <x:v>90</x:v>
      </x:c>
      <x:c r="I26" s="56" t="n">
        <x:v>90</x:v>
      </x:c>
      <x:c r="J26" s="56" t="n">
        <x:v>95</x:v>
      </x:c>
      <x:c r="K26" s="56" t="n">
        <x:v>3</x:v>
      </x:c>
      <x:c r="L26" s="56" t="str">
        <x:v>合成</x:v>
      </x:c>
    </x:row>
  </x:sheetData>
  <x:mergeCells>
    <x:mergeCell ref="A1:L1"/>
  </x:mergeCells>
  <x:conditionalFormatting sqref="F4:F2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{1FC6D80E-DA6A-571D-9B66-D5805073DF2D}</x14:id>
        </x:ext>
      </x:extLst>
    </x:cfRule>
  </x:conditionalFormatting>
  <x:conditionalFormatting sqref="G4:G23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{2CC059B3-9C95-5185-D470-509505C78CC0}</x14:id>
        </x:ext>
      </x:extLst>
    </x:cfRule>
  </x:conditionalFormatting>
  <x:conditionalFormatting sqref="H4:H23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{B40D1B96-E86E-C596-65B1-1FBBC657C44D}</x14:id>
        </x:ext>
      </x:extLst>
    </x:cfRule>
  </x:conditionalFormatting>
  <x:conditionalFormatting sqref="I4:I23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{EE29D6BF-79F3-9F25-30BB-A55ABDE6ED29}</x14:id>
        </x:ext>
      </x:extLst>
    </x:cfRule>
  </x:conditionalFormatting>
  <x:conditionalFormatting sqref="J4:J23">
    <x:cfRule type="dataBar" priority="5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{B8A6B7B3-C22B-9FB2-6589-A48DDE9746F7}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a79da9c9fcd45c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FC6D80E-DA6A-571D-9B66-D5805073DF2D}">
            <x14:dataBar gradient="1">
              <x14:cfvo type="min"/>
              <x14:cfvo type="max"/>
              <x14:fillColor rgb="FF156082"/>
            </x14:dataBar>
          </x14:cfRule>
          <xm:sqref>F4:F23</xm:sqref>
        </x14:conditionalFormatting>
        <x14:conditionalFormatting>
          <x14:cfRule type="dataBar" priority="2" id="{2CC059B3-9C95-5185-D470-509505C78CC0}">
            <x14:dataBar gradient="1">
              <x14:cfvo type="min"/>
              <x14:cfvo type="max"/>
              <x14:fillColor rgb="FF156082"/>
            </x14:dataBar>
          </x14:cfRule>
          <xm:sqref>G4:G23</xm:sqref>
        </x14:conditionalFormatting>
        <x14:conditionalFormatting>
          <x14:cfRule type="dataBar" priority="3" id="{B40D1B96-E86E-C596-65B1-1FBBC657C44D}">
            <x14:dataBar gradient="1">
              <x14:cfvo type="min"/>
              <x14:cfvo type="max"/>
              <x14:fillColor rgb="FF156082"/>
            </x14:dataBar>
          </x14:cfRule>
          <xm:sqref>H4:H23</xm:sqref>
        </x14:conditionalFormatting>
        <x14:conditionalFormatting>
          <x14:cfRule type="dataBar" priority="4" id="{EE29D6BF-79F3-9F25-30BB-A55ABDE6ED29}">
            <x14:dataBar gradient="1">
              <x14:cfvo type="min"/>
              <x14:cfvo type="max"/>
              <x14:fillColor rgb="FF156082"/>
            </x14:dataBar>
          </x14:cfRule>
          <xm:sqref>I4:I23</xm:sqref>
        </x14:conditionalFormatting>
        <x14:conditionalFormatting>
          <x14:cfRule type="dataBar" priority="5" id="{B8A6B7B3-C22B-9FB2-6589-A48DDE9746F7}">
            <x14:dataBar gradient="1">
              <x14:cfvo type="min"/>
              <x14:cfvo type="max"/>
              <x14:fillColor rgb="FF156082"/>
            </x14:dataBar>
          </x14:cfRule>
          <xm:sqref>J4:J23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6" hidden="0" customWidth="1"/>
    <x:col min="5" max="5" width="3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2" hidden="0" customWidth="1"/>
    <x:col min="12" max="12" width="48" hidden="0" customWidth="1"/>
  </x:cols>
  <x:sheetData>
    <x:row r="1" ht="30" customHeight="1">
      <x:c r="A1" s="5" t="str">
        <x:v>合成能力與平台類型目錄</x:v>
      </x:c>
    </x:row>
    <x:row r="3">
      <x:c r="A3" s="14" t="str">
        <x:v>capability_id</x:v>
      </x:c>
      <x:c r="B3" s="14" t="str">
        <x:v>capability_name</x:v>
      </x:c>
      <x:c r="C3" s="14" t="str">
        <x:v>actor_id</x:v>
      </x:c>
      <x:c r="D3" s="14" t="str">
        <x:v>domain</x:v>
      </x:c>
      <x:c r="E3" s="14" t="str">
        <x:v>role</x:v>
      </x:c>
      <x:c r="F3" s="14" t="str">
        <x:v>sensor_index</x:v>
      </x:c>
      <x:c r="G3" s="14" t="str">
        <x:v>reach_index</x:v>
      </x:c>
      <x:c r="H3" s="14" t="str">
        <x:v>mobility_index</x:v>
      </x:c>
      <x:c r="I3" s="14" t="str">
        <x:v>survivability_index</x:v>
      </x:c>
      <x:c r="J3" s="14" t="str">
        <x:v>sustainment_index</x:v>
      </x:c>
      <x:c r="K3" s="14" t="str">
        <x:v>cost_index</x:v>
      </x:c>
      <x:c r="L3" s="14" t="str">
        <x:v>note</x:v>
      </x:c>
    </x:row>
    <x:row r="4">
      <x:c r="A4" s="36" t="str">
        <x:v>CAP-001</x:v>
      </x:c>
      <x:c r="B4" s="36" t="str">
        <x:v>區域防空系統A</x:v>
      </x:c>
      <x:c r="C4" s="36" t="str">
        <x:v>BLUE</x:v>
      </x:c>
      <x:c r="D4" s="36" t="str">
        <x:v>防空</x:v>
      </x:c>
      <x:c r="E4" s="36" t="str">
        <x:v>目標偵測與區域防護</x:v>
      </x:c>
      <x:c r="F4" s="36" t="n">
        <x:v>4</x:v>
      </x:c>
      <x:c r="G4" s="36" t="n">
        <x:v>3</x:v>
      </x:c>
      <x:c r="H4" s="36" t="n">
        <x:v>3</x:v>
      </x:c>
      <x:c r="I4" s="36" t="n">
        <x:v>3</x:v>
      </x:c>
      <x:c r="J4" s="36" t="n">
        <x:v>4</x:v>
      </x:c>
      <x:c r="K4" s="36" t="n">
        <x:v>4</x:v>
      </x:c>
      <x:c r="L4" s="36" t="str">
        <x:v>能力指數1-5；非真實系統</x:v>
      </x:c>
    </x:row>
    <x:row r="5">
      <x:c r="A5" s="36" t="str">
        <x:v>CAP-002</x:v>
      </x:c>
      <x:c r="B5" s="36" t="str">
        <x:v>近程防護系統B</x:v>
      </x:c>
      <x:c r="C5" s="36" t="str">
        <x:v>BLUE</x:v>
      </x:c>
      <x:c r="D5" s="36" t="str">
        <x:v>防空</x:v>
      </x:c>
      <x:c r="E5" s="36" t="str">
        <x:v>末端與點防禦</x:v>
      </x:c>
      <x:c r="F5" s="36" t="n">
        <x:v>3</x:v>
      </x:c>
      <x:c r="G5" s="36" t="n">
        <x:v>4</x:v>
      </x:c>
      <x:c r="H5" s="36" t="n">
        <x:v>4</x:v>
      </x:c>
      <x:c r="I5" s="36" t="n">
        <x:v>4</x:v>
      </x:c>
      <x:c r="J5" s="36" t="n">
        <x:v>3</x:v>
      </x:c>
      <x:c r="K5" s="36" t="n">
        <x:v>3</x:v>
      </x:c>
      <x:c r="L5" s="36" t="str">
        <x:v>能力指數1-5；非真實系統</x:v>
      </x:c>
    </x:row>
    <x:row r="6">
      <x:c r="A6" s="36" t="str">
        <x:v>CAP-003</x:v>
      </x:c>
      <x:c r="B6" s="36" t="str">
        <x:v>機動雷達C</x:v>
      </x:c>
      <x:c r="C6" s="36" t="str">
        <x:v>BLUE</x:v>
      </x:c>
      <x:c r="D6" s="36" t="str">
        <x:v>感測</x:v>
      </x:c>
      <x:c r="E6" s="36" t="str">
        <x:v>預警與追蹤</x:v>
      </x:c>
      <x:c r="F6" s="36" t="n">
        <x:v>5</x:v>
      </x:c>
      <x:c r="G6" s="36" t="n">
        <x:v>4</x:v>
      </x:c>
      <x:c r="H6" s="36" t="n">
        <x:v>3</x:v>
      </x:c>
      <x:c r="I6" s="36" t="n">
        <x:v>4</x:v>
      </x:c>
      <x:c r="J6" s="36" t="n">
        <x:v>3</x:v>
      </x:c>
      <x:c r="K6" s="36" t="n">
        <x:v>3</x:v>
      </x:c>
      <x:c r="L6" s="36" t="str">
        <x:v>能力指數1-5；非真實系統</x:v>
      </x:c>
    </x:row>
    <x:row r="7">
      <x:c r="A7" s="36" t="str">
        <x:v>CAP-004</x:v>
      </x:c>
      <x:c r="B7" s="36" t="str">
        <x:v>多用途航空群D</x:v>
      </x:c>
      <x:c r="C7" s="36" t="str">
        <x:v>BLUE</x:v>
      </x:c>
      <x:c r="D7" s="36" t="str">
        <x:v>航空</x:v>
      </x:c>
      <x:c r="E7" s="36" t="str">
        <x:v>巡防、識別與攔截</x:v>
      </x:c>
      <x:c r="F7" s="36" t="n">
        <x:v>4</x:v>
      </x:c>
      <x:c r="G7" s="36" t="n">
        <x:v>4</x:v>
      </x:c>
      <x:c r="H7" s="36" t="n">
        <x:v>4</x:v>
      </x:c>
      <x:c r="I7" s="36" t="n">
        <x:v>4</x:v>
      </x:c>
      <x:c r="J7" s="36" t="n">
        <x:v>3</x:v>
      </x:c>
      <x:c r="K7" s="36" t="n">
        <x:v>4</x:v>
      </x:c>
      <x:c r="L7" s="36" t="str">
        <x:v>能力指數1-5；非真實系統</x:v>
      </x:c>
    </x:row>
    <x:row r="8">
      <x:c r="A8" s="36" t="str">
        <x:v>CAP-005</x:v>
      </x:c>
      <x:c r="B8" s="36" t="str">
        <x:v>近海巡防平台E</x:v>
      </x:c>
      <x:c r="C8" s="36" t="str">
        <x:v>BLUE</x:v>
      </x:c>
      <x:c r="D8" s="36" t="str">
        <x:v>海軍</x:v>
      </x:c>
      <x:c r="E8" s="36" t="str">
        <x:v>海域監控與護航</x:v>
      </x:c>
      <x:c r="F8" s="36" t="n">
        <x:v>3</x:v>
      </x:c>
      <x:c r="G8" s="36" t="n">
        <x:v>3</x:v>
      </x:c>
      <x:c r="H8" s="36" t="n">
        <x:v>4</x:v>
      </x:c>
      <x:c r="I8" s="36" t="n">
        <x:v>4</x:v>
      </x:c>
      <x:c r="J8" s="36" t="n">
        <x:v>4</x:v>
      </x:c>
      <x:c r="K8" s="36" t="n">
        <x:v>3</x:v>
      </x:c>
      <x:c r="L8" s="36" t="str">
        <x:v>能力指數1-5；非真實系統</x:v>
      </x:c>
    </x:row>
    <x:row r="9">
      <x:c r="A9" s="36" t="str">
        <x:v>CAP-006</x:v>
      </x:c>
      <x:c r="B9" s="36" t="str">
        <x:v>分散式指揮節點F</x:v>
      </x:c>
      <x:c r="C9" s="36" t="str">
        <x:v>BLUE</x:v>
      </x:c>
      <x:c r="D9" s="36" t="str">
        <x:v>C2</x:v>
      </x:c>
      <x:c r="E9" s="36" t="str">
        <x:v>指揮韌性與備援</x:v>
      </x:c>
      <x:c r="F9" s="36" t="n">
        <x:v>4</x:v>
      </x:c>
      <x:c r="G9" s="36" t="n">
        <x:v>3</x:v>
      </x:c>
      <x:c r="H9" s="36" t="n">
        <x:v>4</x:v>
      </x:c>
      <x:c r="I9" s="36" t="n">
        <x:v>5</x:v>
      </x:c>
      <x:c r="J9" s="36" t="n">
        <x:v>5</x:v>
      </x:c>
      <x:c r="K9" s="36" t="n">
        <x:v>3</x:v>
      </x:c>
      <x:c r="L9" s="36" t="str">
        <x:v>能力指數1-5；非真實系統</x:v>
      </x:c>
    </x:row>
    <x:row r="10">
      <x:c r="A10" s="36" t="str">
        <x:v>CAP-007</x:v>
      </x:c>
      <x:c r="B10" s="36" t="str">
        <x:v>空中施壓平台G</x:v>
      </x:c>
      <x:c r="C10" s="36" t="str">
        <x:v>RED</x:v>
      </x:c>
      <x:c r="D10" s="36" t="str">
        <x:v>航空</x:v>
      </x:c>
      <x:c r="E10" s="36" t="str">
        <x:v>巡邏、護航與施壓</x:v>
      </x:c>
      <x:c r="F10" s="36" t="n">
        <x:v>4</x:v>
      </x:c>
      <x:c r="G10" s="36" t="n">
        <x:v>4</x:v>
      </x:c>
      <x:c r="H10" s="36" t="n">
        <x:v>4</x:v>
      </x:c>
      <x:c r="I10" s="36" t="n">
        <x:v>4</x:v>
      </x:c>
      <x:c r="J10" s="36" t="n">
        <x:v>3</x:v>
      </x:c>
      <x:c r="K10" s="36" t="n">
        <x:v>4</x:v>
      </x:c>
      <x:c r="L10" s="36" t="str">
        <x:v>能力指數1-5；非真實系統</x:v>
      </x:c>
    </x:row>
    <x:row r="11">
      <x:c r="A11" s="36" t="str">
        <x:v>CAP-008</x:v>
      </x:c>
      <x:c r="B11" s="36" t="str">
        <x:v>遠程打擊系統H</x:v>
      </x:c>
      <x:c r="C11" s="36" t="str">
        <x:v>RED</x:v>
      </x:c>
      <x:c r="D11" s="36" t="str">
        <x:v>遠程火力</x:v>
      </x:c>
      <x:c r="E11" s="36" t="str">
        <x:v>遠距精準打擊演示</x:v>
      </x:c>
      <x:c r="F11" s="36" t="n">
        <x:v>4</x:v>
      </x:c>
      <x:c r="G11" s="36" t="n">
        <x:v>5</x:v>
      </x:c>
      <x:c r="H11" s="36" t="n">
        <x:v>2</x:v>
      </x:c>
      <x:c r="I11" s="36" t="n">
        <x:v>3</x:v>
      </x:c>
      <x:c r="J11" s="36" t="n">
        <x:v>3</x:v>
      </x:c>
      <x:c r="K11" s="36" t="n">
        <x:v>5</x:v>
      </x:c>
      <x:c r="L11" s="36" t="str">
        <x:v>不含實際射程、彈頭與部署數量</x:v>
      </x:c>
    </x:row>
    <x:row r="12">
      <x:c r="A12" s="36" t="str">
        <x:v>CAP-009</x:v>
      </x:c>
      <x:c r="B12" s="36" t="str">
        <x:v>海上封控平台I</x:v>
      </x:c>
      <x:c r="C12" s="36" t="str">
        <x:v>RED</x:v>
      </x:c>
      <x:c r="D12" s="36" t="str">
        <x:v>海軍</x:v>
      </x:c>
      <x:c r="E12" s="36" t="str">
        <x:v>警戒、封控與護航</x:v>
      </x:c>
      <x:c r="F12" s="36" t="n">
        <x:v>4</x:v>
      </x:c>
      <x:c r="G12" s="36" t="n">
        <x:v>3</x:v>
      </x:c>
      <x:c r="H12" s="36" t="n">
        <x:v>4</x:v>
      </x:c>
      <x:c r="I12" s="36" t="n">
        <x:v>4</x:v>
      </x:c>
      <x:c r="J12" s="36" t="n">
        <x:v>4</x:v>
      </x:c>
      <x:c r="K12" s="36" t="n">
        <x:v>4</x:v>
      </x:c>
      <x:c r="L12" s="36" t="str">
        <x:v>能力指數1-5；非真實系統</x:v>
      </x:c>
    </x:row>
    <x:row r="13">
      <x:c r="A13" s="36" t="str">
        <x:v>CAP-010</x:v>
      </x:c>
      <x:c r="B13" s="36" t="str">
        <x:v>電磁支援系統J</x:v>
      </x:c>
      <x:c r="C13" s="36" t="str">
        <x:v>RED</x:v>
      </x:c>
      <x:c r="D13" s="36" t="str">
        <x:v>電子戰</x:v>
      </x:c>
      <x:c r="E13" s="36" t="str">
        <x:v>干擾、欺敵與支援</x:v>
      </x:c>
      <x:c r="F13" s="36" t="n">
        <x:v>4</x:v>
      </x:c>
      <x:c r="G13" s="36" t="n">
        <x:v>4</x:v>
      </x:c>
      <x:c r="H13" s="36" t="n">
        <x:v>3</x:v>
      </x:c>
      <x:c r="I13" s="36" t="n">
        <x:v>4</x:v>
      </x:c>
      <x:c r="J13" s="36" t="n">
        <x:v>3</x:v>
      </x:c>
      <x:c r="K13" s="36" t="n">
        <x:v>4</x:v>
      </x:c>
      <x:c r="L13" s="36" t="str">
        <x:v>能力指數1-5；非真實系統</x:v>
      </x:c>
    </x:row>
    <x:row r="14">
      <x:c r="A14" s="36" t="str">
        <x:v>CAP-011</x:v>
      </x:c>
      <x:c r="B14" s="36" t="str">
        <x:v>遠端ISR平台K</x:v>
      </x:c>
      <x:c r="C14" s="36" t="str">
        <x:v>AMBER</x:v>
      </x:c>
      <x:c r="D14" s="36" t="str">
        <x:v>ISR</x:v>
      </x:c>
      <x:c r="E14" s="36" t="str">
        <x:v>廣域監視與情報融合</x:v>
      </x:c>
      <x:c r="F14" s="36" t="n">
        <x:v>5</x:v>
      </x:c>
      <x:c r="G14" s="36" t="n">
        <x:v>5</x:v>
      </x:c>
      <x:c r="H14" s="36" t="n">
        <x:v>4</x:v>
      </x:c>
      <x:c r="I14" s="36" t="n">
        <x:v>4</x:v>
      </x:c>
      <x:c r="J14" s="36" t="n">
        <x:v>4</x:v>
      </x:c>
      <x:c r="K14" s="36" t="n">
        <x:v>4</x:v>
      </x:c>
      <x:c r="L14" s="36" t="str">
        <x:v>不含平台型號、軌道或站位</x:v>
      </x:c>
    </x:row>
    <x:row r="15">
      <x:c r="A15" s="36" t="str">
        <x:v>CAP-012</x:v>
      </x:c>
      <x:c r="B15" s="36" t="str">
        <x:v>遠距海上平台L</x:v>
      </x:c>
      <x:c r="C15" s="36" t="str">
        <x:v>AMBER</x:v>
      </x:c>
      <x:c r="D15" s="36" t="str">
        <x:v>海軍</x:v>
      </x:c>
      <x:c r="E15" s="36" t="str">
        <x:v>區域存在與護航支援</x:v>
      </x:c>
      <x:c r="F15" s="36" t="n">
        <x:v>4</x:v>
      </x:c>
      <x:c r="G15" s="36" t="n">
        <x:v>4</x:v>
      </x:c>
      <x:c r="H15" s="36" t="n">
        <x:v>5</x:v>
      </x:c>
      <x:c r="I15" s="36" t="n">
        <x:v>4</x:v>
      </x:c>
      <x:c r="J15" s="36" t="n">
        <x:v>5</x:v>
      </x:c>
      <x:c r="K15" s="36" t="n">
        <x:v>5</x:v>
      </x:c>
      <x:c r="L15" s="36" t="str">
        <x:v>能力指數1-5；非真實系統</x:v>
      </x:c>
    </x:row>
    <x:row r="16">
      <x:c r="A16" s="36" t="str">
        <x:v>CAP-013</x:v>
      </x:c>
      <x:c r="B16" s="36" t="str">
        <x:v>區域後勤平台M</x:v>
      </x:c>
      <x:c r="C16" s="36" t="str">
        <x:v>AMBER</x:v>
      </x:c>
      <x:c r="D16" s="36" t="str">
        <x:v>後勤</x:v>
      </x:c>
      <x:c r="E16" s="36" t="str">
        <x:v>補給、維修與運輸</x:v>
      </x:c>
      <x:c r="F16" s="36" t="n">
        <x:v>3</x:v>
      </x:c>
      <x:c r="G16" s="36" t="n">
        <x:v>4</x:v>
      </x:c>
      <x:c r="H16" s="36" t="n">
        <x:v>4</x:v>
      </x:c>
      <x:c r="I16" s="36" t="n">
        <x:v>5</x:v>
      </x:c>
      <x:c r="J16" s="36" t="n">
        <x:v>5</x:v>
      </x:c>
      <x:c r="K16" s="36" t="n">
        <x:v>4</x:v>
      </x:c>
      <x:c r="L16" s="36" t="str">
        <x:v>能力指數1-5；非真實系統</x:v>
      </x:c>
    </x:row>
    <x:row r="17">
      <x:c r="A17" s="36" t="str">
        <x:v>CAP-014</x:v>
      </x:c>
      <x:c r="B17" s="36" t="str">
        <x:v>網路防護系統N</x:v>
      </x:c>
      <x:c r="C17" s="36" t="str">
        <x:v>AMBER</x:v>
      </x:c>
      <x:c r="D17" s="36" t="str">
        <x:v>網路</x:v>
      </x:c>
      <x:c r="E17" s="36" t="str">
        <x:v>防護、備援與事件處理</x:v>
      </x:c>
      <x:c r="F17" s="36" t="n">
        <x:v>4</x:v>
      </x:c>
      <x:c r="G17" s="36" t="n">
        <x:v>5</x:v>
      </x:c>
      <x:c r="H17" s="36" t="n">
        <x:v>4</x:v>
      </x:c>
      <x:c r="I17" s="36" t="n">
        <x:v>5</x:v>
      </x:c>
      <x:c r="J17" s="36" t="n">
        <x:v>5</x:v>
      </x:c>
      <x:c r="K17" s="36" t="n">
        <x:v>3</x:v>
      </x:c>
      <x:c r="L17" s="36" t="str">
        <x:v>能力指數1-5；非真實系統</x:v>
      </x:c>
    </x:row>
    <x:row r="18">
      <x:c r="A18" s="36" t="str">
        <x:v>CAP-015</x:v>
      </x:c>
      <x:c r="B18" s="36" t="str">
        <x:v>商船交通模型O</x:v>
      </x:c>
      <x:c r="C18" s="36" t="str">
        <x:v>WHITE</x:v>
      </x:c>
      <x:c r="D18" s="36" t="str">
        <x:v>民事</x:v>
      </x:c>
      <x:c r="E18" s="36" t="str">
        <x:v>流量、延誤與風險</x:v>
      </x:c>
      <x:c r="F18" s="36" t="n">
        <x:v>2</x:v>
      </x:c>
      <x:c r="G18" s="36" t="n">
        <x:v>2</x:v>
      </x:c>
      <x:c r="H18" s="36" t="n">
        <x:v>1</x:v>
      </x:c>
      <x:c r="I18" s="36" t="n">
        <x:v>2</x:v>
      </x:c>
      <x:c r="J18" s="36" t="n">
        <x:v>5</x:v>
      </x:c>
      <x:c r="K18" s="36" t="n">
        <x:v>1</x:v>
      </x:c>
      <x:c r="L18" s="36" t="str">
        <x:v>教學用民事模型</x:v>
      </x:c>
    </x:row>
    <x:row r="19">
      <x:c r="A19" s="56" t="str">
        <x:v>CAP-016</x:v>
      </x:c>
      <x:c r="B19" s="56" t="str">
        <x:v>無人機任務系統P</x:v>
      </x:c>
      <x:c r="C19" s="56" t="str">
        <x:v>BLUE</x:v>
      </x:c>
      <x:c r="D19" s="56" t="str">
        <x:v>無人系統</x:v>
      </x:c>
      <x:c r="E19" s="56" t="str">
        <x:v>偵察、通訊中繼與資訊支援</x:v>
      </x:c>
      <x:c r="F19" s="56" t="n">
        <x:v>5</x:v>
      </x:c>
      <x:c r="G19" s="56" t="n">
        <x:v>3</x:v>
      </x:c>
      <x:c r="H19" s="56" t="n">
        <x:v>5</x:v>
      </x:c>
      <x:c r="I19" s="56" t="n">
        <x:v>3</x:v>
      </x:c>
      <x:c r="J19" s="56" t="n">
        <x:v>3</x:v>
      </x:c>
      <x:c r="K19" s="56" t="n">
        <x:v>2</x:v>
      </x:c>
      <x:c r="L19" s="56" t="str">
        <x:v>能力指數1-5；不對應真實型號、數量或性能</x:v>
      </x:c>
    </x:row>
    <x:row r="20">
      <x:c r="A20" s="60" t="str">
        <x:v>CAP-017</x:v>
      </x:c>
      <x:c r="B20" s="60" t="str">
        <x:v>星鏈備援通訊系統Q</x:v>
      </x:c>
      <x:c r="C20" s="60" t="str">
        <x:v>BLUE</x:v>
      </x:c>
      <x:c r="D20" s="60" t="str">
        <x:v>衛星通訊</x:v>
      </x:c>
      <x:c r="E20" s="60" t="str">
        <x:v>分散式備援通訊與指揮韌性</x:v>
      </x:c>
      <x:c r="F20" s="60" t="n">
        <x:v>3</x:v>
      </x:c>
      <x:c r="G20" s="60" t="n">
        <x:v>5</x:v>
      </x:c>
      <x:c r="H20" s="60" t="n">
        <x:v>2</x:v>
      </x:c>
      <x:c r="I20" s="60" t="n">
        <x:v>4</x:v>
      </x:c>
      <x:c r="J20" s="60" t="n">
        <x:v>4</x:v>
      </x:c>
      <x:c r="K20" s="60" t="n">
        <x:v>3</x:v>
      </x:c>
      <x:c r="L20" s="60" t="str">
        <x:v>合成節點模型；不含軌道、站位或真實容量</x:v>
      </x:c>
    </x:row>
    <x:row r="21">
      <x:c r="A21" s="56" t="str">
        <x:v>CAP-018</x:v>
      </x:c>
      <x:c r="B21" s="56" t="str">
        <x:v>高空通訊平臺R</x:v>
      </x:c>
      <x:c r="C21" s="56" t="str">
        <x:v>AMBER</x:v>
      </x:c>
      <x:c r="D21" s="56" t="str">
        <x:v>高空通訊</x:v>
      </x:c>
      <x:c r="E21" s="56" t="str">
        <x:v>廣域通訊中繼與備援連接</x:v>
      </x:c>
      <x:c r="F21" s="56" t="n">
        <x:v>4</x:v>
      </x:c>
      <x:c r="G21" s="56" t="n">
        <x:v>5</x:v>
      </x:c>
      <x:c r="H21" s="56" t="n">
        <x:v>4</x:v>
      </x:c>
      <x:c r="I21" s="56" t="n">
        <x:v>4</x:v>
      </x:c>
      <x:c r="J21" s="56" t="n">
        <x:v>4</x:v>
      </x:c>
      <x:c r="K21" s="56" t="n">
        <x:v>4</x:v>
      </x:c>
      <x:c r="L21" s="56" t="str">
        <x:v>合成平臺模型；不含真實型號、站位或性能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1e5f21b7082491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6" hidden="0" customWidth="1"/>
    <x:col min="5" max="5" width="16" hidden="0" customWidth="1"/>
    <x:col min="6" max="6" width="12" hidden="0" customWidth="1"/>
    <x:col min="7" max="7" width="22" hidden="0" customWidth="1"/>
    <x:col min="8" max="8" width="28" hidden="0" customWidth="1"/>
    <x:col min="9" max="9" width="14" hidden="0" customWidth="1"/>
  </x:cols>
  <x:sheetData>
    <x:row r="1" ht="30" customHeight="1">
      <x:c r="A1" s="5" t="str">
        <x:v>合成海象與能見度資料</x:v>
      </x:c>
    </x:row>
    <x:row r="3">
      <x:c r="A3" s="14" t="str">
        <x:v>turn</x:v>
      </x:c>
      <x:c r="B3" s="14" t="str">
        <x:v>hour_from_start</x:v>
      </x:c>
      <x:c r="C3" s="14" t="str">
        <x:v>zone_id</x:v>
      </x:c>
      <x:c r="D3" s="14" t="str">
        <x:v>sea_state_1_5</x:v>
      </x:c>
      <x:c r="E3" s="14" t="str">
        <x:v>visibility_1_5</x:v>
      </x:c>
      <x:c r="F3" s="14" t="str">
        <x:v>wind_kts</x:v>
      </x:c>
      <x:c r="G3" s="14" t="str">
        <x:v>precip_probability_pct</x:v>
      </x:c>
      <x:c r="H3" s="14" t="str">
        <x:v>scenario_note</x:v>
      </x:c>
      <x:c r="I3" s="14" t="str">
        <x:v>data_type</x:v>
      </x:c>
    </x:row>
    <x:row r="4">
      <x:c r="A4" s="36" t="n">
        <x:v>1</x:v>
      </x:c>
      <x:c r="B4" s="36" t="n">
        <x:v>0</x:v>
      </x:c>
      <x:c r="C4" s="36" t="str">
        <x:v>Z-NW</x:v>
      </x:c>
      <x:c r="D4" s="36" t="n">
        <x:v>3</x:v>
      </x:c>
      <x:c r="E4" s="36" t="n">
        <x:v>2</x:v>
      </x:c>
      <x:c r="F4" s="36" t="n">
        <x:v>21</x:v>
      </x:c>
      <x:c r="G4" s="36" t="n">
        <x:v>77</x:v>
      </x:c>
      <x:c r="H4" s="36" t="str">
        <x:v>一般變化</x:v>
      </x:c>
      <x:c r="I4" s="36" t="str">
        <x:v>SYNTHETIC</x:v>
      </x:c>
    </x:row>
    <x:row r="5">
      <x:c r="A5" s="36" t="n">
        <x:v>1</x:v>
      </x:c>
      <x:c r="B5" s="36" t="n">
        <x:v>0</x:v>
      </x:c>
      <x:c r="C5" s="36" t="str">
        <x:v>Z-CW</x:v>
      </x:c>
      <x:c r="D5" s="36" t="n">
        <x:v>4</x:v>
      </x:c>
      <x:c r="E5" s="36" t="n">
        <x:v>3</x:v>
      </x:c>
      <x:c r="F5" s="36" t="n">
        <x:v>34</x:v>
      </x:c>
      <x:c r="G5" s="36" t="n">
        <x:v>48</x:v>
      </x:c>
      <x:c r="H5" s="36" t="str">
        <x:v>一般變化</x:v>
      </x:c>
      <x:c r="I5" s="36" t="str">
        <x:v>SYNTHETIC</x:v>
      </x:c>
    </x:row>
    <x:row r="6">
      <x:c r="A6" s="36" t="n">
        <x:v>1</x:v>
      </x:c>
      <x:c r="B6" s="36" t="n">
        <x:v>0</x:v>
      </x:c>
      <x:c r="C6" s="36" t="str">
        <x:v>Z-SW</x:v>
      </x:c>
      <x:c r="D6" s="36" t="n">
        <x:v>4</x:v>
      </x:c>
      <x:c r="E6" s="36" t="n">
        <x:v>1</x:v>
      </x:c>
      <x:c r="F6" s="36" t="n">
        <x:v>27</x:v>
      </x:c>
      <x:c r="G6" s="36" t="n">
        <x:v>89</x:v>
      </x:c>
      <x:c r="H6" s="36" t="str">
        <x:v>一般變化</x:v>
      </x:c>
      <x:c r="I6" s="36" t="str">
        <x:v>SYNTHETIC</x:v>
      </x:c>
    </x:row>
    <x:row r="7">
      <x:c r="A7" s="36" t="n">
        <x:v>1</x:v>
      </x:c>
      <x:c r="B7" s="36" t="n">
        <x:v>0</x:v>
      </x:c>
      <x:c r="C7" s="36" t="str">
        <x:v>Z-NE</x:v>
      </x:c>
      <x:c r="D7" s="36" t="n">
        <x:v>2</x:v>
      </x:c>
      <x:c r="E7" s="36" t="n">
        <x:v>4</x:v>
      </x:c>
      <x:c r="F7" s="36" t="n">
        <x:v>17</x:v>
      </x:c>
      <x:c r="G7" s="36" t="n">
        <x:v>30</x:v>
      </x:c>
      <x:c r="H7" s="36" t="str">
        <x:v>一般變化</x:v>
      </x:c>
      <x:c r="I7" s="36" t="str">
        <x:v>SYNTHETIC</x:v>
      </x:c>
    </x:row>
    <x:row r="8">
      <x:c r="A8" s="36" t="n">
        <x:v>1</x:v>
      </x:c>
      <x:c r="B8" s="36" t="n">
        <x:v>0</x:v>
      </x:c>
      <x:c r="C8" s="36" t="str">
        <x:v>Z-E</x:v>
      </x:c>
      <x:c r="D8" s="36" t="n">
        <x:v>4</x:v>
      </x:c>
      <x:c r="E8" s="36" t="n">
        <x:v>4</x:v>
      </x:c>
      <x:c r="F8" s="36" t="n">
        <x:v>26</x:v>
      </x:c>
      <x:c r="G8" s="36" t="n">
        <x:v>43</x:v>
      </x:c>
      <x:c r="H8" s="36" t="str">
        <x:v>一般變化</x:v>
      </x:c>
      <x:c r="I8" s="36" t="str">
        <x:v>SYNTHETIC</x:v>
      </x:c>
    </x:row>
    <x:row r="9">
      <x:c r="A9" s="36" t="n">
        <x:v>1</x:v>
      </x:c>
      <x:c r="B9" s="36" t="n">
        <x:v>0</x:v>
      </x:c>
      <x:c r="C9" s="36" t="str">
        <x:v>Z-SE</x:v>
      </x:c>
      <x:c r="D9" s="36" t="n">
        <x:v>4</x:v>
      </x:c>
      <x:c r="E9" s="36" t="n">
        <x:v>3</x:v>
      </x:c>
      <x:c r="F9" s="36" t="n">
        <x:v>35</x:v>
      </x:c>
      <x:c r="G9" s="36" t="n">
        <x:v>49</x:v>
      </x:c>
      <x:c r="H9" s="36" t="str">
        <x:v>一般變化</x:v>
      </x:c>
      <x:c r="I9" s="36" t="str">
        <x:v>SYNTHETIC</x:v>
      </x:c>
    </x:row>
    <x:row r="10">
      <x:c r="A10" s="36" t="n">
        <x:v>1</x:v>
      </x:c>
      <x:c r="B10" s="36" t="n">
        <x:v>0</x:v>
      </x:c>
      <x:c r="C10" s="36" t="str">
        <x:v>Z-ISL</x:v>
      </x:c>
      <x:c r="D10" s="36" t="n">
        <x:v>2</x:v>
      </x:c>
      <x:c r="E10" s="36" t="n">
        <x:v>4</x:v>
      </x:c>
      <x:c r="F10" s="36" t="n">
        <x:v>17</x:v>
      </x:c>
      <x:c r="G10" s="36" t="n">
        <x:v>47</x:v>
      </x:c>
      <x:c r="H10" s="36" t="str">
        <x:v>一般變化</x:v>
      </x:c>
      <x:c r="I10" s="36" t="str">
        <x:v>SYNTHETIC</x:v>
      </x:c>
    </x:row>
    <x:row r="11">
      <x:c r="A11" s="36" t="n">
        <x:v>1</x:v>
      </x:c>
      <x:c r="B11" s="36" t="n">
        <x:v>0</x:v>
      </x:c>
      <x:c r="C11" s="36" t="str">
        <x:v>Z-REAR</x:v>
      </x:c>
      <x:c r="D11" s="36" t="n">
        <x:v>2</x:v>
      </x:c>
      <x:c r="E11" s="36" t="n">
        <x:v>4</x:v>
      </x:c>
      <x:c r="F11" s="36" t="n">
        <x:v>23</x:v>
      </x:c>
      <x:c r="G11" s="36" t="n">
        <x:v>39</x:v>
      </x:c>
      <x:c r="H11" s="36" t="str">
        <x:v>一般變化</x:v>
      </x:c>
      <x:c r="I11" s="36" t="str">
        <x:v>SYNTHETIC</x:v>
      </x:c>
    </x:row>
    <x:row r="12">
      <x:c r="A12" s="36" t="n">
        <x:v>2</x:v>
      </x:c>
      <x:c r="B12" s="36" t="n">
        <x:v>6</x:v>
      </x:c>
      <x:c r="C12" s="36" t="str">
        <x:v>Z-NW</x:v>
      </x:c>
      <x:c r="D12" s="36" t="n">
        <x:v>3</x:v>
      </x:c>
      <x:c r="E12" s="36" t="n">
        <x:v>4</x:v>
      </x:c>
      <x:c r="F12" s="36" t="n">
        <x:v>26</x:v>
      </x:c>
      <x:c r="G12" s="36" t="n">
        <x:v>47</x:v>
      </x:c>
      <x:c r="H12" s="36" t="str">
        <x:v>一般變化</x:v>
      </x:c>
      <x:c r="I12" s="36" t="str">
        <x:v>SYNTHETIC</x:v>
      </x:c>
    </x:row>
    <x:row r="13">
      <x:c r="A13" s="36" t="n">
        <x:v>2</x:v>
      </x:c>
      <x:c r="B13" s="36" t="n">
        <x:v>6</x:v>
      </x:c>
      <x:c r="C13" s="36" t="str">
        <x:v>Z-CW</x:v>
      </x:c>
      <x:c r="D13" s="36" t="n">
        <x:v>3</x:v>
      </x:c>
      <x:c r="E13" s="36" t="n">
        <x:v>4</x:v>
      </x:c>
      <x:c r="F13" s="36" t="n">
        <x:v>25</x:v>
      </x:c>
      <x:c r="G13" s="36" t="n">
        <x:v>44</x:v>
      </x:c>
      <x:c r="H13" s="36" t="str">
        <x:v>一般變化</x:v>
      </x:c>
      <x:c r="I13" s="36" t="str">
        <x:v>SYNTHETIC</x:v>
      </x:c>
    </x:row>
    <x:row r="14">
      <x:c r="A14" s="36" t="n">
        <x:v>2</x:v>
      </x:c>
      <x:c r="B14" s="36" t="n">
        <x:v>6</x:v>
      </x:c>
      <x:c r="C14" s="36" t="str">
        <x:v>Z-SW</x:v>
      </x:c>
      <x:c r="D14" s="36" t="n">
        <x:v>3</x:v>
      </x:c>
      <x:c r="E14" s="36" t="n">
        <x:v>1</x:v>
      </x:c>
      <x:c r="F14" s="36" t="n">
        <x:v>22</x:v>
      </x:c>
      <x:c r="G14" s="36" t="n">
        <x:v>87</x:v>
      </x:c>
      <x:c r="H14" s="36" t="str">
        <x:v>一般變化</x:v>
      </x:c>
      <x:c r="I14" s="36" t="str">
        <x:v>SYNTHETIC</x:v>
      </x:c>
    </x:row>
    <x:row r="15">
      <x:c r="A15" s="36" t="n">
        <x:v>2</x:v>
      </x:c>
      <x:c r="B15" s="36" t="n">
        <x:v>6</x:v>
      </x:c>
      <x:c r="C15" s="36" t="str">
        <x:v>Z-NE</x:v>
      </x:c>
      <x:c r="D15" s="36" t="n">
        <x:v>3</x:v>
      </x:c>
      <x:c r="E15" s="36" t="n">
        <x:v>4</x:v>
      </x:c>
      <x:c r="F15" s="36" t="n">
        <x:v>24</x:v>
      </x:c>
      <x:c r="G15" s="36" t="n">
        <x:v>30</x:v>
      </x:c>
      <x:c r="H15" s="36" t="str">
        <x:v>一般變化</x:v>
      </x:c>
      <x:c r="I15" s="36" t="str">
        <x:v>SYNTHETIC</x:v>
      </x:c>
    </x:row>
    <x:row r="16">
      <x:c r="A16" s="36" t="n">
        <x:v>2</x:v>
      </x:c>
      <x:c r="B16" s="36" t="n">
        <x:v>6</x:v>
      </x:c>
      <x:c r="C16" s="36" t="str">
        <x:v>Z-E</x:v>
      </x:c>
      <x:c r="D16" s="36" t="n">
        <x:v>4</x:v>
      </x:c>
      <x:c r="E16" s="36" t="n">
        <x:v>4</x:v>
      </x:c>
      <x:c r="F16" s="36" t="n">
        <x:v>31</x:v>
      </x:c>
      <x:c r="G16" s="36" t="n">
        <x:v>36</x:v>
      </x:c>
      <x:c r="H16" s="36" t="str">
        <x:v>一般變化</x:v>
      </x:c>
      <x:c r="I16" s="36" t="str">
        <x:v>SYNTHETIC</x:v>
      </x:c>
    </x:row>
    <x:row r="17">
      <x:c r="A17" s="36" t="n">
        <x:v>2</x:v>
      </x:c>
      <x:c r="B17" s="36" t="n">
        <x:v>6</x:v>
      </x:c>
      <x:c r="C17" s="36" t="str">
        <x:v>Z-SE</x:v>
      </x:c>
      <x:c r="D17" s="36" t="n">
        <x:v>4</x:v>
      </x:c>
      <x:c r="E17" s="36" t="n">
        <x:v>3</x:v>
      </x:c>
      <x:c r="F17" s="36" t="n">
        <x:v>35</x:v>
      </x:c>
      <x:c r="G17" s="36" t="n">
        <x:v>59</x:v>
      </x:c>
      <x:c r="H17" s="36" t="str">
        <x:v>一般變化</x:v>
      </x:c>
      <x:c r="I17" s="36" t="str">
        <x:v>SYNTHETIC</x:v>
      </x:c>
    </x:row>
    <x:row r="18">
      <x:c r="A18" s="36" t="n">
        <x:v>2</x:v>
      </x:c>
      <x:c r="B18" s="36" t="n">
        <x:v>6</x:v>
      </x:c>
      <x:c r="C18" s="36" t="str">
        <x:v>Z-ISL</x:v>
      </x:c>
      <x:c r="D18" s="36" t="n">
        <x:v>2</x:v>
      </x:c>
      <x:c r="E18" s="36" t="n">
        <x:v>4</x:v>
      </x:c>
      <x:c r="F18" s="36" t="n">
        <x:v>24</x:v>
      </x:c>
      <x:c r="G18" s="36" t="n">
        <x:v>40</x:v>
      </x:c>
      <x:c r="H18" s="36" t="str">
        <x:v>一般變化</x:v>
      </x:c>
      <x:c r="I18" s="36" t="str">
        <x:v>SYNTHETIC</x:v>
      </x:c>
    </x:row>
    <x:row r="19">
      <x:c r="A19" s="36" t="n">
        <x:v>2</x:v>
      </x:c>
      <x:c r="B19" s="36" t="n">
        <x:v>6</x:v>
      </x:c>
      <x:c r="C19" s="36" t="str">
        <x:v>Z-REAR</x:v>
      </x:c>
      <x:c r="D19" s="36" t="n">
        <x:v>3</x:v>
      </x:c>
      <x:c r="E19" s="36" t="n">
        <x:v>5</x:v>
      </x:c>
      <x:c r="F19" s="36" t="n">
        <x:v>26</x:v>
      </x:c>
      <x:c r="G19" s="36" t="n">
        <x:v>14</x:v>
      </x:c>
      <x:c r="H19" s="36" t="str">
        <x:v>一般變化</x:v>
      </x:c>
      <x:c r="I19" s="36" t="str">
        <x:v>SYNTHETIC</x:v>
      </x:c>
    </x:row>
    <x:row r="20">
      <x:c r="A20" s="36" t="n">
        <x:v>3</x:v>
      </x:c>
      <x:c r="B20" s="36" t="n">
        <x:v>12</x:v>
      </x:c>
      <x:c r="C20" s="36" t="str">
        <x:v>Z-NW</x:v>
      </x:c>
      <x:c r="D20" s="36" t="n">
        <x:v>3</x:v>
      </x:c>
      <x:c r="E20" s="36" t="n">
        <x:v>3</x:v>
      </x:c>
      <x:c r="F20" s="36" t="n">
        <x:v>27</x:v>
      </x:c>
      <x:c r="G20" s="36" t="n">
        <x:v>51</x:v>
      </x:c>
      <x:c r="H20" s="36" t="str">
        <x:v>一般變化</x:v>
      </x:c>
      <x:c r="I20" s="36" t="str">
        <x:v>SYNTHETIC</x:v>
      </x:c>
    </x:row>
    <x:row r="21">
      <x:c r="A21" s="36" t="n">
        <x:v>3</x:v>
      </x:c>
      <x:c r="B21" s="36" t="n">
        <x:v>12</x:v>
      </x:c>
      <x:c r="C21" s="36" t="str">
        <x:v>Z-CW</x:v>
      </x:c>
      <x:c r="D21" s="36" t="n">
        <x:v>4</x:v>
      </x:c>
      <x:c r="E21" s="36" t="n">
        <x:v>3</x:v>
      </x:c>
      <x:c r="F21" s="36" t="n">
        <x:v>30</x:v>
      </x:c>
      <x:c r="G21" s="36" t="n">
        <x:v>55</x:v>
      </x:c>
      <x:c r="H21" s="36" t="str">
        <x:v>一般變化</x:v>
      </x:c>
      <x:c r="I21" s="36" t="str">
        <x:v>SYNTHETIC</x:v>
      </x:c>
    </x:row>
    <x:row r="22">
      <x:c r="A22" s="36" t="n">
        <x:v>3</x:v>
      </x:c>
      <x:c r="B22" s="36" t="n">
        <x:v>12</x:v>
      </x:c>
      <x:c r="C22" s="36" t="str">
        <x:v>Z-SW</x:v>
      </x:c>
      <x:c r="D22" s="36" t="n">
        <x:v>4</x:v>
      </x:c>
      <x:c r="E22" s="36" t="n">
        <x:v>1</x:v>
      </x:c>
      <x:c r="F22" s="36" t="n">
        <x:v>26</x:v>
      </x:c>
      <x:c r="G22" s="36" t="n">
        <x:v>92</x:v>
      </x:c>
      <x:c r="H22" s="36" t="str">
        <x:v>一般變化</x:v>
      </x:c>
      <x:c r="I22" s="36" t="str">
        <x:v>SYNTHETIC</x:v>
      </x:c>
    </x:row>
    <x:row r="23">
      <x:c r="A23" s="36" t="n">
        <x:v>3</x:v>
      </x:c>
      <x:c r="B23" s="36" t="n">
        <x:v>12</x:v>
      </x:c>
      <x:c r="C23" s="36" t="str">
        <x:v>Z-NE</x:v>
      </x:c>
      <x:c r="D23" s="36" t="n">
        <x:v>3</x:v>
      </x:c>
      <x:c r="E23" s="36" t="n">
        <x:v>4</x:v>
      </x:c>
      <x:c r="F23" s="36" t="n">
        <x:v>22</x:v>
      </x:c>
      <x:c r="G23" s="36" t="n">
        <x:v>39</x:v>
      </x:c>
      <x:c r="H23" s="36" t="str">
        <x:v>一般變化</x:v>
      </x:c>
      <x:c r="I23" s="36" t="str">
        <x:v>SYNTHETIC</x:v>
      </x:c>
    </x:row>
    <x:row r="24">
      <x:c r="A24" s="36" t="n">
        <x:v>3</x:v>
      </x:c>
      <x:c r="B24" s="36" t="n">
        <x:v>12</x:v>
      </x:c>
      <x:c r="C24" s="36" t="str">
        <x:v>Z-E</x:v>
      </x:c>
      <x:c r="D24" s="36" t="n">
        <x:v>4</x:v>
      </x:c>
      <x:c r="E24" s="36" t="n">
        <x:v>3</x:v>
      </x:c>
      <x:c r="F24" s="36" t="n">
        <x:v>28</x:v>
      </x:c>
      <x:c r="G24" s="36" t="n">
        <x:v>47</x:v>
      </x:c>
      <x:c r="H24" s="36" t="str">
        <x:v>一般變化</x:v>
      </x:c>
      <x:c r="I24" s="36" t="str">
        <x:v>SYNTHETIC</x:v>
      </x:c>
    </x:row>
    <x:row r="25">
      <x:c r="A25" s="36" t="n">
        <x:v>3</x:v>
      </x:c>
      <x:c r="B25" s="36" t="n">
        <x:v>12</x:v>
      </x:c>
      <x:c r="C25" s="36" t="str">
        <x:v>Z-SE</x:v>
      </x:c>
      <x:c r="D25" s="36" t="n">
        <x:v>4</x:v>
      </x:c>
      <x:c r="E25" s="36" t="n">
        <x:v>3</x:v>
      </x:c>
      <x:c r="F25" s="36" t="n">
        <x:v>34</x:v>
      </x:c>
      <x:c r="G25" s="36" t="n">
        <x:v>57</x:v>
      </x:c>
      <x:c r="H25" s="36" t="str">
        <x:v>一般變化</x:v>
      </x:c>
      <x:c r="I25" s="36" t="str">
        <x:v>SYNTHETIC</x:v>
      </x:c>
    </x:row>
    <x:row r="26">
      <x:c r="A26" s="36" t="n">
        <x:v>3</x:v>
      </x:c>
      <x:c r="B26" s="36" t="n">
        <x:v>12</x:v>
      </x:c>
      <x:c r="C26" s="36" t="str">
        <x:v>Z-ISL</x:v>
      </x:c>
      <x:c r="D26" s="36" t="n">
        <x:v>2</x:v>
      </x:c>
      <x:c r="E26" s="36" t="n">
        <x:v>5</x:v>
      </x:c>
      <x:c r="F26" s="36" t="n">
        <x:v>23</x:v>
      </x:c>
      <x:c r="G26" s="36" t="n">
        <x:v>25</x:v>
      </x:c>
      <x:c r="H26" s="36" t="str">
        <x:v>一般變化</x:v>
      </x:c>
      <x:c r="I26" s="36" t="str">
        <x:v>SYNTHETIC</x:v>
      </x:c>
    </x:row>
    <x:row r="27">
      <x:c r="A27" s="36" t="n">
        <x:v>3</x:v>
      </x:c>
      <x:c r="B27" s="36" t="n">
        <x:v>12</x:v>
      </x:c>
      <x:c r="C27" s="36" t="str">
        <x:v>Z-REAR</x:v>
      </x:c>
      <x:c r="D27" s="36" t="n">
        <x:v>3</x:v>
      </x:c>
      <x:c r="E27" s="36" t="n">
        <x:v>5</x:v>
      </x:c>
      <x:c r="F27" s="36" t="n">
        <x:v>25</x:v>
      </x:c>
      <x:c r="G27" s="36" t="n">
        <x:v>17</x:v>
      </x:c>
      <x:c r="H27" s="36" t="str">
        <x:v>一般變化</x:v>
      </x:c>
      <x:c r="I27" s="36" t="str">
        <x:v>SYNTHETIC</x:v>
      </x:c>
    </x:row>
    <x:row r="28">
      <x:c r="A28" s="36" t="n">
        <x:v>4</x:v>
      </x:c>
      <x:c r="B28" s="36" t="n">
        <x:v>18</x:v>
      </x:c>
      <x:c r="C28" s="36" t="str">
        <x:v>Z-NW</x:v>
      </x:c>
      <x:c r="D28" s="36" t="n">
        <x:v>3</x:v>
      </x:c>
      <x:c r="E28" s="36" t="n">
        <x:v>3</x:v>
      </x:c>
      <x:c r="F28" s="36" t="n">
        <x:v>21</x:v>
      </x:c>
      <x:c r="G28" s="36" t="n">
        <x:v>59</x:v>
      </x:c>
      <x:c r="H28" s="36" t="str">
        <x:v>一般變化</x:v>
      </x:c>
      <x:c r="I28" s="36" t="str">
        <x:v>SYNTHETIC</x:v>
      </x:c>
    </x:row>
    <x:row r="29">
      <x:c r="A29" s="36" t="n">
        <x:v>4</x:v>
      </x:c>
      <x:c r="B29" s="36" t="n">
        <x:v>18</x:v>
      </x:c>
      <x:c r="C29" s="36" t="str">
        <x:v>Z-CW</x:v>
      </x:c>
      <x:c r="D29" s="36" t="n">
        <x:v>3</x:v>
      </x:c>
      <x:c r="E29" s="36" t="n">
        <x:v>3</x:v>
      </x:c>
      <x:c r="F29" s="36" t="n">
        <x:v>21</x:v>
      </x:c>
      <x:c r="G29" s="36" t="n">
        <x:v>48</x:v>
      </x:c>
      <x:c r="H29" s="36" t="str">
        <x:v>一般變化</x:v>
      </x:c>
      <x:c r="I29" s="36" t="str">
        <x:v>SYNTHETIC</x:v>
      </x:c>
    </x:row>
    <x:row r="30">
      <x:c r="A30" s="36" t="n">
        <x:v>4</x:v>
      </x:c>
      <x:c r="B30" s="36" t="n">
        <x:v>18</x:v>
      </x:c>
      <x:c r="C30" s="36" t="str">
        <x:v>Z-SW</x:v>
      </x:c>
      <x:c r="D30" s="36" t="n">
        <x:v>4</x:v>
      </x:c>
      <x:c r="E30" s="36" t="n">
        <x:v>2</x:v>
      </x:c>
      <x:c r="F30" s="36" t="n">
        <x:v>33</x:v>
      </x:c>
      <x:c r="G30" s="36" t="n">
        <x:v>72</x:v>
      </x:c>
      <x:c r="H30" s="36" t="str">
        <x:v>一般變化</x:v>
      </x:c>
      <x:c r="I30" s="36" t="str">
        <x:v>SYNTHETIC</x:v>
      </x:c>
    </x:row>
    <x:row r="31">
      <x:c r="A31" s="36" t="n">
        <x:v>4</x:v>
      </x:c>
      <x:c r="B31" s="36" t="n">
        <x:v>18</x:v>
      </x:c>
      <x:c r="C31" s="36" t="str">
        <x:v>Z-NE</x:v>
      </x:c>
      <x:c r="D31" s="36" t="n">
        <x:v>3</x:v>
      </x:c>
      <x:c r="E31" s="36" t="n">
        <x:v>3</x:v>
      </x:c>
      <x:c r="F31" s="36" t="n">
        <x:v>27</x:v>
      </x:c>
      <x:c r="G31" s="36" t="n">
        <x:v>49</x:v>
      </x:c>
      <x:c r="H31" s="36" t="str">
        <x:v>一般變化</x:v>
      </x:c>
      <x:c r="I31" s="36" t="str">
        <x:v>SYNTHETIC</x:v>
      </x:c>
    </x:row>
    <x:row r="32">
      <x:c r="A32" s="36" t="n">
        <x:v>4</x:v>
      </x:c>
      <x:c r="B32" s="36" t="n">
        <x:v>18</x:v>
      </x:c>
      <x:c r="C32" s="36" t="str">
        <x:v>Z-E</x:v>
      </x:c>
      <x:c r="D32" s="36" t="n">
        <x:v>4</x:v>
      </x:c>
      <x:c r="E32" s="36" t="n">
        <x:v>5</x:v>
      </x:c>
      <x:c r="F32" s="36" t="n">
        <x:v>32</x:v>
      </x:c>
      <x:c r="G32" s="36" t="n">
        <x:v>28</x:v>
      </x:c>
      <x:c r="H32" s="36" t="str">
        <x:v>一般變化</x:v>
      </x:c>
      <x:c r="I32" s="36" t="str">
        <x:v>SYNTHETIC</x:v>
      </x:c>
    </x:row>
    <x:row r="33">
      <x:c r="A33" s="36" t="n">
        <x:v>4</x:v>
      </x:c>
      <x:c r="B33" s="36" t="n">
        <x:v>18</x:v>
      </x:c>
      <x:c r="C33" s="36" t="str">
        <x:v>Z-SE</x:v>
      </x:c>
      <x:c r="D33" s="36" t="n">
        <x:v>5</x:v>
      </x:c>
      <x:c r="E33" s="36" t="n">
        <x:v>3</x:v>
      </x:c>
      <x:c r="F33" s="36" t="n">
        <x:v>36</x:v>
      </x:c>
      <x:c r="G33" s="36" t="n">
        <x:v>49</x:v>
      </x:c>
      <x:c r="H33" s="36" t="str">
        <x:v>一般變化</x:v>
      </x:c>
      <x:c r="I33" s="36" t="str">
        <x:v>SYNTHETIC</x:v>
      </x:c>
    </x:row>
    <x:row r="34">
      <x:c r="A34" s="36" t="n">
        <x:v>4</x:v>
      </x:c>
      <x:c r="B34" s="36" t="n">
        <x:v>18</x:v>
      </x:c>
      <x:c r="C34" s="36" t="str">
        <x:v>Z-ISL</x:v>
      </x:c>
      <x:c r="D34" s="36" t="n">
        <x:v>3</x:v>
      </x:c>
      <x:c r="E34" s="36" t="n">
        <x:v>3</x:v>
      </x:c>
      <x:c r="F34" s="36" t="n">
        <x:v>24</x:v>
      </x:c>
      <x:c r="G34" s="36" t="n">
        <x:v>54</x:v>
      </x:c>
      <x:c r="H34" s="36" t="str">
        <x:v>一般變化</x:v>
      </x:c>
      <x:c r="I34" s="36" t="str">
        <x:v>SYNTHETIC</x:v>
      </x:c>
    </x:row>
    <x:row r="35">
      <x:c r="A35" s="36" t="n">
        <x:v>4</x:v>
      </x:c>
      <x:c r="B35" s="36" t="n">
        <x:v>18</x:v>
      </x:c>
      <x:c r="C35" s="36" t="str">
        <x:v>Z-REAR</x:v>
      </x:c>
      <x:c r="D35" s="36" t="n">
        <x:v>3</x:v>
      </x:c>
      <x:c r="E35" s="36" t="n">
        <x:v>5</x:v>
      </x:c>
      <x:c r="F35" s="36" t="n">
        <x:v>22</x:v>
      </x:c>
      <x:c r="G35" s="36" t="n">
        <x:v>16</x:v>
      </x:c>
      <x:c r="H35" s="36" t="str">
        <x:v>一般變化</x:v>
      </x:c>
      <x:c r="I35" s="36" t="str">
        <x:v>SYNTHETIC</x:v>
      </x:c>
    </x:row>
    <x:row r="36">
      <x:c r="A36" s="36" t="n">
        <x:v>5</x:v>
      </x:c>
      <x:c r="B36" s="36" t="n">
        <x:v>24</x:v>
      </x:c>
      <x:c r="C36" s="36" t="str">
        <x:v>Z-NW</x:v>
      </x:c>
      <x:c r="D36" s="36" t="n">
        <x:v>4</x:v>
      </x:c>
      <x:c r="E36" s="36" t="n">
        <x:v>4</x:v>
      </x:c>
      <x:c r="F36" s="36" t="n">
        <x:v>30</x:v>
      </x:c>
      <x:c r="G36" s="36" t="n">
        <x:v>33</x:v>
      </x:c>
      <x:c r="H36" s="36" t="str">
        <x:v>合成海象惡化帶</x:v>
      </x:c>
      <x:c r="I36" s="36" t="str">
        <x:v>SYNTHETIC</x:v>
      </x:c>
    </x:row>
    <x:row r="37">
      <x:c r="A37" s="36" t="n">
        <x:v>5</x:v>
      </x:c>
      <x:c r="B37" s="36" t="n">
        <x:v>24</x:v>
      </x:c>
      <x:c r="C37" s="36" t="str">
        <x:v>Z-CW</x:v>
      </x:c>
      <x:c r="D37" s="36" t="n">
        <x:v>3</x:v>
      </x:c>
      <x:c r="E37" s="36" t="n">
        <x:v>2</x:v>
      </x:c>
      <x:c r="F37" s="36" t="n">
        <x:v>25</x:v>
      </x:c>
      <x:c r="G37" s="36" t="n">
        <x:v>68</x:v>
      </x:c>
      <x:c r="H37" s="36" t="str">
        <x:v>合成海象惡化帶</x:v>
      </x:c>
      <x:c r="I37" s="36" t="str">
        <x:v>SYNTHETIC</x:v>
      </x:c>
    </x:row>
    <x:row r="38">
      <x:c r="A38" s="36" t="n">
        <x:v>5</x:v>
      </x:c>
      <x:c r="B38" s="36" t="n">
        <x:v>24</x:v>
      </x:c>
      <x:c r="C38" s="36" t="str">
        <x:v>Z-SW</x:v>
      </x:c>
      <x:c r="D38" s="36" t="n">
        <x:v>5</x:v>
      </x:c>
      <x:c r="E38" s="36" t="n">
        <x:v>3</x:v>
      </x:c>
      <x:c r="F38" s="36" t="n">
        <x:v>40</x:v>
      </x:c>
      <x:c r="G38" s="36" t="n">
        <x:v>46</x:v>
      </x:c>
      <x:c r="H38" s="36" t="str">
        <x:v>合成海象惡化帶</x:v>
      </x:c>
      <x:c r="I38" s="36" t="str">
        <x:v>SYNTHETIC</x:v>
      </x:c>
    </x:row>
    <x:row r="39">
      <x:c r="A39" s="36" t="n">
        <x:v>5</x:v>
      </x:c>
      <x:c r="B39" s="36" t="n">
        <x:v>24</x:v>
      </x:c>
      <x:c r="C39" s="36" t="str">
        <x:v>Z-NE</x:v>
      </x:c>
      <x:c r="D39" s="36" t="n">
        <x:v>4</x:v>
      </x:c>
      <x:c r="E39" s="36" t="n">
        <x:v>4</x:v>
      </x:c>
      <x:c r="F39" s="36" t="n">
        <x:v>29</x:v>
      </x:c>
      <x:c r="G39" s="36" t="n">
        <x:v>36</x:v>
      </x:c>
      <x:c r="H39" s="36" t="str">
        <x:v>合成海象惡化帶</x:v>
      </x:c>
      <x:c r="I39" s="36" t="str">
        <x:v>SYNTHETIC</x:v>
      </x:c>
    </x:row>
    <x:row r="40">
      <x:c r="A40" s="36" t="n">
        <x:v>5</x:v>
      </x:c>
      <x:c r="B40" s="36" t="n">
        <x:v>24</x:v>
      </x:c>
      <x:c r="C40" s="36" t="str">
        <x:v>Z-E</x:v>
      </x:c>
      <x:c r="D40" s="36" t="n">
        <x:v>5</x:v>
      </x:c>
      <x:c r="E40" s="36" t="n">
        <x:v>5</x:v>
      </x:c>
      <x:c r="F40" s="36" t="n">
        <x:v>32</x:v>
      </x:c>
      <x:c r="G40" s="36" t="n">
        <x:v>21</x:v>
      </x:c>
      <x:c r="H40" s="36" t="str">
        <x:v>合成海象惡化帶</x:v>
      </x:c>
      <x:c r="I40" s="36" t="str">
        <x:v>SYNTHETIC</x:v>
      </x:c>
    </x:row>
    <x:row r="41">
      <x:c r="A41" s="36" t="n">
        <x:v>5</x:v>
      </x:c>
      <x:c r="B41" s="36" t="n">
        <x:v>24</x:v>
      </x:c>
      <x:c r="C41" s="36" t="str">
        <x:v>Z-SE</x:v>
      </x:c>
      <x:c r="D41" s="36" t="n">
        <x:v>5</x:v>
      </x:c>
      <x:c r="E41" s="36" t="n">
        <x:v>3</x:v>
      </x:c>
      <x:c r="F41" s="36" t="n">
        <x:v>39</x:v>
      </x:c>
      <x:c r="G41" s="36" t="n">
        <x:v>61</x:v>
      </x:c>
      <x:c r="H41" s="36" t="str">
        <x:v>合成海象惡化帶</x:v>
      </x:c>
      <x:c r="I41" s="36" t="str">
        <x:v>SYNTHETIC</x:v>
      </x:c>
    </x:row>
    <x:row r="42">
      <x:c r="A42" s="36" t="n">
        <x:v>5</x:v>
      </x:c>
      <x:c r="B42" s="36" t="n">
        <x:v>24</x:v>
      </x:c>
      <x:c r="C42" s="36" t="str">
        <x:v>Z-ISL</x:v>
      </x:c>
      <x:c r="D42" s="36" t="n">
        <x:v>2</x:v>
      </x:c>
      <x:c r="E42" s="36" t="n">
        <x:v>4</x:v>
      </x:c>
      <x:c r="F42" s="36" t="n">
        <x:v>16</x:v>
      </x:c>
      <x:c r="G42" s="36" t="n">
        <x:v>48</x:v>
      </x:c>
      <x:c r="H42" s="36" t="str">
        <x:v>合成海象惡化帶</x:v>
      </x:c>
      <x:c r="I42" s="36" t="str">
        <x:v>SYNTHETIC</x:v>
      </x:c>
    </x:row>
    <x:row r="43">
      <x:c r="A43" s="36" t="n">
        <x:v>5</x:v>
      </x:c>
      <x:c r="B43" s="36" t="n">
        <x:v>24</x:v>
      </x:c>
      <x:c r="C43" s="36" t="str">
        <x:v>Z-REAR</x:v>
      </x:c>
      <x:c r="D43" s="36" t="n">
        <x:v>2</x:v>
      </x:c>
      <x:c r="E43" s="36" t="n">
        <x:v>5</x:v>
      </x:c>
      <x:c r="F43" s="36" t="n">
        <x:v>22</x:v>
      </x:c>
      <x:c r="G43" s="36" t="n">
        <x:v>22</x:v>
      </x:c>
      <x:c r="H43" s="36" t="str">
        <x:v>合成海象惡化帶</x:v>
      </x:c>
      <x:c r="I43" s="36" t="str">
        <x:v>SYNTHETIC</x:v>
      </x:c>
    </x:row>
    <x:row r="44">
      <x:c r="A44" s="36" t="n">
        <x:v>6</x:v>
      </x:c>
      <x:c r="B44" s="36" t="n">
        <x:v>30</x:v>
      </x:c>
      <x:c r="C44" s="36" t="str">
        <x:v>Z-NW</x:v>
      </x:c>
      <x:c r="D44" s="36" t="n">
        <x:v>3</x:v>
      </x:c>
      <x:c r="E44" s="36" t="n">
        <x:v>1</x:v>
      </x:c>
      <x:c r="F44" s="36" t="n">
        <x:v>30</x:v>
      </x:c>
      <x:c r="G44" s="36" t="n">
        <x:v>86</x:v>
      </x:c>
      <x:c r="H44" s="36" t="str">
        <x:v>合成海象惡化帶</x:v>
      </x:c>
      <x:c r="I44" s="36" t="str">
        <x:v>SYNTHETIC</x:v>
      </x:c>
    </x:row>
    <x:row r="45">
      <x:c r="A45" s="36" t="n">
        <x:v>6</x:v>
      </x:c>
      <x:c r="B45" s="36" t="n">
        <x:v>30</x:v>
      </x:c>
      <x:c r="C45" s="36" t="str">
        <x:v>Z-CW</x:v>
      </x:c>
      <x:c r="D45" s="36" t="n">
        <x:v>4</x:v>
      </x:c>
      <x:c r="E45" s="36" t="n">
        <x:v>1</x:v>
      </x:c>
      <x:c r="F45" s="36" t="n">
        <x:v>30</x:v>
      </x:c>
      <x:c r="G45" s="36" t="n">
        <x:v>99</x:v>
      </x:c>
      <x:c r="H45" s="36" t="str">
        <x:v>合成海象惡化帶</x:v>
      </x:c>
      <x:c r="I45" s="36" t="str">
        <x:v>SYNTHETIC</x:v>
      </x:c>
    </x:row>
    <x:row r="46">
      <x:c r="A46" s="36" t="n">
        <x:v>6</x:v>
      </x:c>
      <x:c r="B46" s="36" t="n">
        <x:v>30</x:v>
      </x:c>
      <x:c r="C46" s="36" t="str">
        <x:v>Z-SW</x:v>
      </x:c>
      <x:c r="D46" s="36" t="n">
        <x:v>5</x:v>
      </x:c>
      <x:c r="E46" s="36" t="n">
        <x:v>1</x:v>
      </x:c>
      <x:c r="F46" s="36" t="n">
        <x:v>39</x:v>
      </x:c>
      <x:c r="G46" s="36" t="n">
        <x:v>83</x:v>
      </x:c>
      <x:c r="H46" s="36" t="str">
        <x:v>合成海象惡化帶</x:v>
      </x:c>
      <x:c r="I46" s="36" t="str">
        <x:v>SYNTHETIC</x:v>
      </x:c>
    </x:row>
    <x:row r="47">
      <x:c r="A47" s="36" t="n">
        <x:v>6</x:v>
      </x:c>
      <x:c r="B47" s="36" t="n">
        <x:v>30</x:v>
      </x:c>
      <x:c r="C47" s="36" t="str">
        <x:v>Z-NE</x:v>
      </x:c>
      <x:c r="D47" s="36" t="n">
        <x:v>4</x:v>
      </x:c>
      <x:c r="E47" s="36" t="n">
        <x:v>2</x:v>
      </x:c>
      <x:c r="F47" s="36" t="n">
        <x:v>28</x:v>
      </x:c>
      <x:c r="G47" s="36" t="n">
        <x:v>68</x:v>
      </x:c>
      <x:c r="H47" s="36" t="str">
        <x:v>合成海象惡化帶</x:v>
      </x:c>
      <x:c r="I47" s="36" t="str">
        <x:v>SYNTHETIC</x:v>
      </x:c>
    </x:row>
    <x:row r="48">
      <x:c r="A48" s="36" t="n">
        <x:v>6</x:v>
      </x:c>
      <x:c r="B48" s="36" t="n">
        <x:v>30</x:v>
      </x:c>
      <x:c r="C48" s="36" t="str">
        <x:v>Z-E</x:v>
      </x:c>
      <x:c r="D48" s="36" t="n">
        <x:v>4</x:v>
      </x:c>
      <x:c r="E48" s="36" t="n">
        <x:v>2</x:v>
      </x:c>
      <x:c r="F48" s="36" t="n">
        <x:v>28</x:v>
      </x:c>
      <x:c r="G48" s="36" t="n">
        <x:v>78</x:v>
      </x:c>
      <x:c r="H48" s="36" t="str">
        <x:v>合成海象惡化帶</x:v>
      </x:c>
      <x:c r="I48" s="36" t="str">
        <x:v>SYNTHETIC</x:v>
      </x:c>
    </x:row>
    <x:row r="49">
      <x:c r="A49" s="36" t="n">
        <x:v>6</x:v>
      </x:c>
      <x:c r="B49" s="36" t="n">
        <x:v>30</x:v>
      </x:c>
      <x:c r="C49" s="36" t="str">
        <x:v>Z-SE</x:v>
      </x:c>
      <x:c r="D49" s="36" t="n">
        <x:v>5</x:v>
      </x:c>
      <x:c r="E49" s="36" t="n">
        <x:v>1</x:v>
      </x:c>
      <x:c r="F49" s="36" t="n">
        <x:v>37</x:v>
      </x:c>
      <x:c r="G49" s="36" t="n">
        <x:v>90</x:v>
      </x:c>
      <x:c r="H49" s="36" t="str">
        <x:v>合成海象惡化帶</x:v>
      </x:c>
      <x:c r="I49" s="36" t="str">
        <x:v>SYNTHETIC</x:v>
      </x:c>
    </x:row>
    <x:row r="50">
      <x:c r="A50" s="36" t="n">
        <x:v>6</x:v>
      </x:c>
      <x:c r="B50" s="36" t="n">
        <x:v>30</x:v>
      </x:c>
      <x:c r="C50" s="36" t="str">
        <x:v>Z-ISL</x:v>
      </x:c>
      <x:c r="D50" s="36" t="n">
        <x:v>3</x:v>
      </x:c>
      <x:c r="E50" s="36" t="n">
        <x:v>4</x:v>
      </x:c>
      <x:c r="F50" s="36" t="n">
        <x:v>24</x:v>
      </x:c>
      <x:c r="G50" s="36" t="n">
        <x:v>48</x:v>
      </x:c>
      <x:c r="H50" s="36" t="str">
        <x:v>合成海象惡化帶</x:v>
      </x:c>
      <x:c r="I50" s="36" t="str">
        <x:v>SYNTHETIC</x:v>
      </x:c>
    </x:row>
    <x:row r="51">
      <x:c r="A51" s="36" t="n">
        <x:v>6</x:v>
      </x:c>
      <x:c r="B51" s="36" t="n">
        <x:v>30</x:v>
      </x:c>
      <x:c r="C51" s="36" t="str">
        <x:v>Z-REAR</x:v>
      </x:c>
      <x:c r="D51" s="36" t="n">
        <x:v>4</x:v>
      </x:c>
      <x:c r="E51" s="36" t="n">
        <x:v>4</x:v>
      </x:c>
      <x:c r="F51" s="36" t="n">
        <x:v>33</x:v>
      </x:c>
      <x:c r="G51" s="36" t="n">
        <x:v>45</x:v>
      </x:c>
      <x:c r="H51" s="36" t="str">
        <x:v>合成海象惡化帶</x:v>
      </x:c>
      <x:c r="I51" s="36" t="str">
        <x:v>SYNTHETIC</x:v>
      </x:c>
    </x:row>
    <x:row r="52">
      <x:c r="A52" s="36" t="n">
        <x:v>7</x:v>
      </x:c>
      <x:c r="B52" s="36" t="n">
        <x:v>36</x:v>
      </x:c>
      <x:c r="C52" s="36" t="str">
        <x:v>Z-NW</x:v>
      </x:c>
      <x:c r="D52" s="36" t="n">
        <x:v>4</x:v>
      </x:c>
      <x:c r="E52" s="36" t="n">
        <x:v>1</x:v>
      </x:c>
      <x:c r="F52" s="36" t="n">
        <x:v>32</x:v>
      </x:c>
      <x:c r="G52" s="36" t="n">
        <x:v>93</x:v>
      </x:c>
      <x:c r="H52" s="36" t="str">
        <x:v>合成海象惡化帶</x:v>
      </x:c>
      <x:c r="I52" s="36" t="str">
        <x:v>SYNTHETIC</x:v>
      </x:c>
    </x:row>
    <x:row r="53">
      <x:c r="A53" s="36" t="n">
        <x:v>7</x:v>
      </x:c>
      <x:c r="B53" s="36" t="n">
        <x:v>36</x:v>
      </x:c>
      <x:c r="C53" s="36" t="str">
        <x:v>Z-CW</x:v>
      </x:c>
      <x:c r="D53" s="36" t="n">
        <x:v>4</x:v>
      </x:c>
      <x:c r="E53" s="36" t="n">
        <x:v>2</x:v>
      </x:c>
      <x:c r="F53" s="36" t="n">
        <x:v>34</x:v>
      </x:c>
      <x:c r="G53" s="36" t="n">
        <x:v>83</x:v>
      </x:c>
      <x:c r="H53" s="36" t="str">
        <x:v>合成海象惡化帶</x:v>
      </x:c>
      <x:c r="I53" s="36" t="str">
        <x:v>SYNTHETIC</x:v>
      </x:c>
    </x:row>
    <x:row r="54">
      <x:c r="A54" s="36" t="n">
        <x:v>7</x:v>
      </x:c>
      <x:c r="B54" s="36" t="n">
        <x:v>36</x:v>
      </x:c>
      <x:c r="C54" s="36" t="str">
        <x:v>Z-SW</x:v>
      </x:c>
      <x:c r="D54" s="36" t="n">
        <x:v>5</x:v>
      </x:c>
      <x:c r="E54" s="36" t="n">
        <x:v>2</x:v>
      </x:c>
      <x:c r="F54" s="36" t="n">
        <x:v>37</x:v>
      </x:c>
      <x:c r="G54" s="36" t="n">
        <x:v>84</x:v>
      </x:c>
      <x:c r="H54" s="36" t="str">
        <x:v>合成海象惡化帶</x:v>
      </x:c>
      <x:c r="I54" s="36" t="str">
        <x:v>SYNTHETIC</x:v>
      </x:c>
    </x:row>
    <x:row r="55">
      <x:c r="A55" s="36" t="n">
        <x:v>7</x:v>
      </x:c>
      <x:c r="B55" s="36" t="n">
        <x:v>36</x:v>
      </x:c>
      <x:c r="C55" s="36" t="str">
        <x:v>Z-NE</x:v>
      </x:c>
      <x:c r="D55" s="36" t="n">
        <x:v>4</x:v>
      </x:c>
      <x:c r="E55" s="36" t="n">
        <x:v>4</x:v>
      </x:c>
      <x:c r="F55" s="36" t="n">
        <x:v>32</x:v>
      </x:c>
      <x:c r="G55" s="36" t="n">
        <x:v>46</x:v>
      </x:c>
      <x:c r="H55" s="36" t="str">
        <x:v>合成海象惡化帶</x:v>
      </x:c>
      <x:c r="I55" s="36" t="str">
        <x:v>SYNTHETIC</x:v>
      </x:c>
    </x:row>
    <x:row r="56">
      <x:c r="A56" s="36" t="n">
        <x:v>7</x:v>
      </x:c>
      <x:c r="B56" s="36" t="n">
        <x:v>36</x:v>
      </x:c>
      <x:c r="C56" s="36" t="str">
        <x:v>Z-E</x:v>
      </x:c>
      <x:c r="D56" s="36" t="n">
        <x:v>5</x:v>
      </x:c>
      <x:c r="E56" s="36" t="n">
        <x:v>4</x:v>
      </x:c>
      <x:c r="F56" s="36" t="n">
        <x:v>34</x:v>
      </x:c>
      <x:c r="G56" s="36" t="n">
        <x:v>46</x:v>
      </x:c>
      <x:c r="H56" s="36" t="str">
        <x:v>合成海象惡化帶</x:v>
      </x:c>
      <x:c r="I56" s="36" t="str">
        <x:v>SYNTHETIC</x:v>
      </x:c>
    </x:row>
    <x:row r="57">
      <x:c r="A57" s="36" t="n">
        <x:v>7</x:v>
      </x:c>
      <x:c r="B57" s="36" t="n">
        <x:v>36</x:v>
      </x:c>
      <x:c r="C57" s="36" t="str">
        <x:v>Z-SE</x:v>
      </x:c>
      <x:c r="D57" s="36" t="n">
        <x:v>4</x:v>
      </x:c>
      <x:c r="E57" s="36" t="n">
        <x:v>1</x:v>
      </x:c>
      <x:c r="F57" s="36" t="n">
        <x:v>34</x:v>
      </x:c>
      <x:c r="G57" s="36" t="n">
        <x:v>97</x:v>
      </x:c>
      <x:c r="H57" s="36" t="str">
        <x:v>合成海象惡化帶</x:v>
      </x:c>
      <x:c r="I57" s="36" t="str">
        <x:v>SYNTHETIC</x:v>
      </x:c>
    </x:row>
    <x:row r="58">
      <x:c r="A58" s="36" t="n">
        <x:v>7</x:v>
      </x:c>
      <x:c r="B58" s="36" t="n">
        <x:v>36</x:v>
      </x:c>
      <x:c r="C58" s="36" t="str">
        <x:v>Z-ISL</x:v>
      </x:c>
      <x:c r="D58" s="36" t="n">
        <x:v>2</x:v>
      </x:c>
      <x:c r="E58" s="36" t="n">
        <x:v>2</x:v>
      </x:c>
      <x:c r="F58" s="36" t="n">
        <x:v>25</x:v>
      </x:c>
      <x:c r="G58" s="36" t="n">
        <x:v>76</x:v>
      </x:c>
      <x:c r="H58" s="36" t="str">
        <x:v>合成海象惡化帶</x:v>
      </x:c>
      <x:c r="I58" s="36" t="str">
        <x:v>SYNTHETIC</x:v>
      </x:c>
    </x:row>
    <x:row r="59">
      <x:c r="A59" s="36" t="n">
        <x:v>7</x:v>
      </x:c>
      <x:c r="B59" s="36" t="n">
        <x:v>36</x:v>
      </x:c>
      <x:c r="C59" s="36" t="str">
        <x:v>Z-REAR</x:v>
      </x:c>
      <x:c r="D59" s="36" t="n">
        <x:v>4</x:v>
      </x:c>
      <x:c r="E59" s="36" t="n">
        <x:v>4</x:v>
      </x:c>
      <x:c r="F59" s="36" t="n">
        <x:v>32</x:v>
      </x:c>
      <x:c r="G59" s="36" t="n">
        <x:v>38</x:v>
      </x:c>
      <x:c r="H59" s="36" t="str">
        <x:v>合成海象惡化帶</x:v>
      </x:c>
      <x:c r="I59" s="36" t="str">
        <x:v>SYNTHETIC</x:v>
      </x:c>
    </x:row>
    <x:row r="60">
      <x:c r="A60" s="36" t="n">
        <x:v>8</x:v>
      </x:c>
      <x:c r="B60" s="36" t="n">
        <x:v>42</x:v>
      </x:c>
      <x:c r="C60" s="36" t="str">
        <x:v>Z-NW</x:v>
      </x:c>
      <x:c r="D60" s="36" t="n">
        <x:v>3</x:v>
      </x:c>
      <x:c r="E60" s="36" t="n">
        <x:v>4</x:v>
      </x:c>
      <x:c r="F60" s="36" t="n">
        <x:v>25</x:v>
      </x:c>
      <x:c r="G60" s="36" t="n">
        <x:v>33</x:v>
      </x:c>
      <x:c r="H60" s="36" t="str">
        <x:v>一般變化</x:v>
      </x:c>
      <x:c r="I60" s="36" t="str">
        <x:v>SYNTHETIC</x:v>
      </x:c>
    </x:row>
    <x:row r="61">
      <x:c r="A61" s="36" t="n">
        <x:v>8</x:v>
      </x:c>
      <x:c r="B61" s="36" t="n">
        <x:v>42</x:v>
      </x:c>
      <x:c r="C61" s="36" t="str">
        <x:v>Z-CW</x:v>
      </x:c>
      <x:c r="D61" s="36" t="n">
        <x:v>3</x:v>
      </x:c>
      <x:c r="E61" s="36" t="n">
        <x:v>4</x:v>
      </x:c>
      <x:c r="F61" s="36" t="n">
        <x:v>21</x:v>
      </x:c>
      <x:c r="G61" s="36" t="n">
        <x:v>37</x:v>
      </x:c>
      <x:c r="H61" s="36" t="str">
        <x:v>一般變化</x:v>
      </x:c>
      <x:c r="I61" s="36" t="str">
        <x:v>SYNTHETIC</x:v>
      </x:c>
    </x:row>
    <x:row r="62">
      <x:c r="A62" s="36" t="n">
        <x:v>8</x:v>
      </x:c>
      <x:c r="B62" s="36" t="n">
        <x:v>42</x:v>
      </x:c>
      <x:c r="C62" s="36" t="str">
        <x:v>Z-SW</x:v>
      </x:c>
      <x:c r="D62" s="36" t="n">
        <x:v>5</x:v>
      </x:c>
      <x:c r="E62" s="36" t="n">
        <x:v>1</x:v>
      </x:c>
      <x:c r="F62" s="36" t="n">
        <x:v>31</x:v>
      </x:c>
      <x:c r="G62" s="36" t="n">
        <x:v>93</x:v>
      </x:c>
      <x:c r="H62" s="36" t="str">
        <x:v>一般變化</x:v>
      </x:c>
      <x:c r="I62" s="36" t="str">
        <x:v>SYNTHETIC</x:v>
      </x:c>
    </x:row>
    <x:row r="63">
      <x:c r="A63" s="36" t="n">
        <x:v>8</x:v>
      </x:c>
      <x:c r="B63" s="36" t="n">
        <x:v>42</x:v>
      </x:c>
      <x:c r="C63" s="36" t="str">
        <x:v>Z-NE</x:v>
      </x:c>
      <x:c r="D63" s="36" t="n">
        <x:v>2</x:v>
      </x:c>
      <x:c r="E63" s="36" t="n">
        <x:v>5</x:v>
      </x:c>
      <x:c r="F63" s="36" t="n">
        <x:v>16</x:v>
      </x:c>
      <x:c r="G63" s="36" t="n">
        <x:v>25</x:v>
      </x:c>
      <x:c r="H63" s="36" t="str">
        <x:v>一般變化</x:v>
      </x:c>
      <x:c r="I63" s="36" t="str">
        <x:v>SYNTHETIC</x:v>
      </x:c>
    </x:row>
    <x:row r="64">
      <x:c r="A64" s="36" t="n">
        <x:v>8</x:v>
      </x:c>
      <x:c r="B64" s="36" t="n">
        <x:v>42</x:v>
      </x:c>
      <x:c r="C64" s="36" t="str">
        <x:v>Z-E</x:v>
      </x:c>
      <x:c r="D64" s="36" t="n">
        <x:v>4</x:v>
      </x:c>
      <x:c r="E64" s="36" t="n">
        <x:v>3</x:v>
      </x:c>
      <x:c r="F64" s="36" t="n">
        <x:v>26</x:v>
      </x:c>
      <x:c r="G64" s="36" t="n">
        <x:v>46</x:v>
      </x:c>
      <x:c r="H64" s="36" t="str">
        <x:v>一般變化</x:v>
      </x:c>
      <x:c r="I64" s="36" t="str">
        <x:v>SYNTHETIC</x:v>
      </x:c>
    </x:row>
    <x:row r="65">
      <x:c r="A65" s="36" t="n">
        <x:v>8</x:v>
      </x:c>
      <x:c r="B65" s="36" t="n">
        <x:v>42</x:v>
      </x:c>
      <x:c r="C65" s="36" t="str">
        <x:v>Z-SE</x:v>
      </x:c>
      <x:c r="D65" s="36" t="n">
        <x:v>5</x:v>
      </x:c>
      <x:c r="E65" s="36" t="n">
        <x:v>2</x:v>
      </x:c>
      <x:c r="F65" s="36" t="n">
        <x:v>40</x:v>
      </x:c>
      <x:c r="G65" s="36" t="n">
        <x:v>70</x:v>
      </x:c>
      <x:c r="H65" s="36" t="str">
        <x:v>一般變化</x:v>
      </x:c>
      <x:c r="I65" s="36" t="str">
        <x:v>SYNTHETIC</x:v>
      </x:c>
    </x:row>
    <x:row r="66">
      <x:c r="A66" s="36" t="n">
        <x:v>8</x:v>
      </x:c>
      <x:c r="B66" s="36" t="n">
        <x:v>42</x:v>
      </x:c>
      <x:c r="C66" s="36" t="str">
        <x:v>Z-ISL</x:v>
      </x:c>
      <x:c r="D66" s="36" t="n">
        <x:v>3</x:v>
      </x:c>
      <x:c r="E66" s="36" t="n">
        <x:v>4</x:v>
      </x:c>
      <x:c r="F66" s="36" t="n">
        <x:v>30</x:v>
      </x:c>
      <x:c r="G66" s="36" t="n">
        <x:v>34</x:v>
      </x:c>
      <x:c r="H66" s="36" t="str">
        <x:v>一般變化</x:v>
      </x:c>
      <x:c r="I66" s="36" t="str">
        <x:v>SYNTHETIC</x:v>
      </x:c>
    </x:row>
    <x:row r="67">
      <x:c r="A67" s="36" t="n">
        <x:v>8</x:v>
      </x:c>
      <x:c r="B67" s="36" t="n">
        <x:v>42</x:v>
      </x:c>
      <x:c r="C67" s="36" t="str">
        <x:v>Z-REAR</x:v>
      </x:c>
      <x:c r="D67" s="36" t="n">
        <x:v>3</x:v>
      </x:c>
      <x:c r="E67" s="36" t="n">
        <x:v>5</x:v>
      </x:c>
      <x:c r="F67" s="36" t="n">
        <x:v>21</x:v>
      </x:c>
      <x:c r="G67" s="36" t="n">
        <x:v>27</x:v>
      </x:c>
      <x:c r="H67" s="36" t="str">
        <x:v>一般變化</x:v>
      </x:c>
      <x:c r="I67" s="36" t="str">
        <x:v>SYNTHETIC</x:v>
      </x:c>
    </x:row>
    <x:row r="68">
      <x:c r="A68" s="36" t="n">
        <x:v>9</x:v>
      </x:c>
      <x:c r="B68" s="36" t="n">
        <x:v>48</x:v>
      </x:c>
      <x:c r="C68" s="36" t="str">
        <x:v>Z-NW</x:v>
      </x:c>
      <x:c r="D68" s="36" t="n">
        <x:v>3</x:v>
      </x:c>
      <x:c r="E68" s="36" t="n">
        <x:v>3</x:v>
      </x:c>
      <x:c r="F68" s="36" t="n">
        <x:v>25</x:v>
      </x:c>
      <x:c r="G68" s="36" t="n">
        <x:v>58</x:v>
      </x:c>
      <x:c r="H68" s="36" t="str">
        <x:v>一般變化</x:v>
      </x:c>
      <x:c r="I68" s="36" t="str">
        <x:v>SYNTHETIC</x:v>
      </x:c>
    </x:row>
    <x:row r="69">
      <x:c r="A69" s="36" t="n">
        <x:v>9</x:v>
      </x:c>
      <x:c r="B69" s="36" t="n">
        <x:v>48</x:v>
      </x:c>
      <x:c r="C69" s="36" t="str">
        <x:v>Z-CW</x:v>
      </x:c>
      <x:c r="D69" s="36" t="n">
        <x:v>3</x:v>
      </x:c>
      <x:c r="E69" s="36" t="n">
        <x:v>4</x:v>
      </x:c>
      <x:c r="F69" s="36" t="n">
        <x:v>21</x:v>
      </x:c>
      <x:c r="G69" s="36" t="n">
        <x:v>38</x:v>
      </x:c>
      <x:c r="H69" s="36" t="str">
        <x:v>一般變化</x:v>
      </x:c>
      <x:c r="I69" s="36" t="str">
        <x:v>SYNTHETIC</x:v>
      </x:c>
    </x:row>
    <x:row r="70">
      <x:c r="A70" s="36" t="n">
        <x:v>9</x:v>
      </x:c>
      <x:c r="B70" s="36" t="n">
        <x:v>48</x:v>
      </x:c>
      <x:c r="C70" s="36" t="str">
        <x:v>Z-SW</x:v>
      </x:c>
      <x:c r="D70" s="36" t="n">
        <x:v>4</x:v>
      </x:c>
      <x:c r="E70" s="36" t="n">
        <x:v>2</x:v>
      </x:c>
      <x:c r="F70" s="36" t="n">
        <x:v>29</x:v>
      </x:c>
      <x:c r="G70" s="36" t="n">
        <x:v>77</x:v>
      </x:c>
      <x:c r="H70" s="36" t="str">
        <x:v>一般變化</x:v>
      </x:c>
      <x:c r="I70" s="36" t="str">
        <x:v>SYNTHETIC</x:v>
      </x:c>
    </x:row>
    <x:row r="71">
      <x:c r="A71" s="36" t="n">
        <x:v>9</x:v>
      </x:c>
      <x:c r="B71" s="36" t="n">
        <x:v>48</x:v>
      </x:c>
      <x:c r="C71" s="36" t="str">
        <x:v>Z-NE</x:v>
      </x:c>
      <x:c r="D71" s="36" t="n">
        <x:v>2</x:v>
      </x:c>
      <x:c r="E71" s="36" t="n">
        <x:v>4</x:v>
      </x:c>
      <x:c r="F71" s="36" t="n">
        <x:v>24</x:v>
      </x:c>
      <x:c r="G71" s="36" t="n">
        <x:v>30</x:v>
      </x:c>
      <x:c r="H71" s="36" t="str">
        <x:v>一般變化</x:v>
      </x:c>
      <x:c r="I71" s="36" t="str">
        <x:v>SYNTHETIC</x:v>
      </x:c>
    </x:row>
    <x:row r="72">
      <x:c r="A72" s="36" t="n">
        <x:v>9</x:v>
      </x:c>
      <x:c r="B72" s="36" t="n">
        <x:v>48</x:v>
      </x:c>
      <x:c r="C72" s="36" t="str">
        <x:v>Z-E</x:v>
      </x:c>
      <x:c r="D72" s="36" t="n">
        <x:v>4</x:v>
      </x:c>
      <x:c r="E72" s="36" t="n">
        <x:v>3</x:v>
      </x:c>
      <x:c r="F72" s="36" t="n">
        <x:v>32</x:v>
      </x:c>
      <x:c r="G72" s="36" t="n">
        <x:v>46</x:v>
      </x:c>
      <x:c r="H72" s="36" t="str">
        <x:v>一般變化</x:v>
      </x:c>
      <x:c r="I72" s="36" t="str">
        <x:v>SYNTHETIC</x:v>
      </x:c>
    </x:row>
    <x:row r="73">
      <x:c r="A73" s="36" t="n">
        <x:v>9</x:v>
      </x:c>
      <x:c r="B73" s="36" t="n">
        <x:v>48</x:v>
      </x:c>
      <x:c r="C73" s="36" t="str">
        <x:v>Z-SE</x:v>
      </x:c>
      <x:c r="D73" s="36" t="n">
        <x:v>4</x:v>
      </x:c>
      <x:c r="E73" s="36" t="n">
        <x:v>3</x:v>
      </x:c>
      <x:c r="F73" s="36" t="n">
        <x:v>30</x:v>
      </x:c>
      <x:c r="G73" s="36" t="n">
        <x:v>49</x:v>
      </x:c>
      <x:c r="H73" s="36" t="str">
        <x:v>一般變化</x:v>
      </x:c>
      <x:c r="I73" s="36" t="str">
        <x:v>SYNTHETIC</x:v>
      </x:c>
    </x:row>
    <x:row r="74">
      <x:c r="A74" s="36" t="n">
        <x:v>9</x:v>
      </x:c>
      <x:c r="B74" s="36" t="n">
        <x:v>48</x:v>
      </x:c>
      <x:c r="C74" s="36" t="str">
        <x:v>Z-ISL</x:v>
      </x:c>
      <x:c r="D74" s="36" t="n">
        <x:v>2</x:v>
      </x:c>
      <x:c r="E74" s="36" t="n">
        <x:v>3</x:v>
      </x:c>
      <x:c r="F74" s="36" t="n">
        <x:v>20</x:v>
      </x:c>
      <x:c r="G74" s="36" t="n">
        <x:v>58</x:v>
      </x:c>
      <x:c r="H74" s="36" t="str">
        <x:v>一般變化</x:v>
      </x:c>
      <x:c r="I74" s="36" t="str">
        <x:v>SYNTHETIC</x:v>
      </x:c>
    </x:row>
    <x:row r="75">
      <x:c r="A75" s="36" t="n">
        <x:v>9</x:v>
      </x:c>
      <x:c r="B75" s="36" t="n">
        <x:v>48</x:v>
      </x:c>
      <x:c r="C75" s="36" t="str">
        <x:v>Z-REAR</x:v>
      </x:c>
      <x:c r="D75" s="36" t="n">
        <x:v>3</x:v>
      </x:c>
      <x:c r="E75" s="36" t="n">
        <x:v>5</x:v>
      </x:c>
      <x:c r="F75" s="36" t="n">
        <x:v>27</x:v>
      </x:c>
      <x:c r="G75" s="36" t="n">
        <x:v>14</x:v>
      </x:c>
      <x:c r="H75" s="36" t="str">
        <x:v>一般變化</x:v>
      </x:c>
      <x:c r="I75" s="36" t="str">
        <x:v>SYNTHETIC</x:v>
      </x:c>
    </x:row>
    <x:row r="76">
      <x:c r="A76" s="36" t="n">
        <x:v>10</x:v>
      </x:c>
      <x:c r="B76" s="36" t="n">
        <x:v>54</x:v>
      </x:c>
      <x:c r="C76" s="36" t="str">
        <x:v>Z-NW</x:v>
      </x:c>
      <x:c r="D76" s="36" t="n">
        <x:v>3</x:v>
      </x:c>
      <x:c r="E76" s="36" t="n">
        <x:v>2</x:v>
      </x:c>
      <x:c r="F76" s="36" t="n">
        <x:v>25</x:v>
      </x:c>
      <x:c r="G76" s="36" t="n">
        <x:v>84</x:v>
      </x:c>
      <x:c r="H76" s="36" t="str">
        <x:v>一般變化</x:v>
      </x:c>
      <x:c r="I76" s="36" t="str">
        <x:v>SYNTHETIC</x:v>
      </x:c>
    </x:row>
    <x:row r="77">
      <x:c r="A77" s="36" t="n">
        <x:v>10</x:v>
      </x:c>
      <x:c r="B77" s="36" t="n">
        <x:v>54</x:v>
      </x:c>
      <x:c r="C77" s="36" t="str">
        <x:v>Z-CW</x:v>
      </x:c>
      <x:c r="D77" s="36" t="n">
        <x:v>2</x:v>
      </x:c>
      <x:c r="E77" s="36" t="n">
        <x:v>3</x:v>
      </x:c>
      <x:c r="F77" s="36" t="n">
        <x:v>23</x:v>
      </x:c>
      <x:c r="G77" s="36" t="n">
        <x:v>66</x:v>
      </x:c>
      <x:c r="H77" s="36" t="str">
        <x:v>一般變化</x:v>
      </x:c>
      <x:c r="I77" s="36" t="str">
        <x:v>SYNTHETIC</x:v>
      </x:c>
    </x:row>
    <x:row r="78">
      <x:c r="A78" s="36" t="n">
        <x:v>10</x:v>
      </x:c>
      <x:c r="B78" s="36" t="n">
        <x:v>54</x:v>
      </x:c>
      <x:c r="C78" s="36" t="str">
        <x:v>Z-SW</x:v>
      </x:c>
      <x:c r="D78" s="36" t="n">
        <x:v>4</x:v>
      </x:c>
      <x:c r="E78" s="36" t="n">
        <x:v>2</x:v>
      </x:c>
      <x:c r="F78" s="36" t="n">
        <x:v>26</x:v>
      </x:c>
      <x:c r="G78" s="36" t="n">
        <x:v>77</x:v>
      </x:c>
      <x:c r="H78" s="36" t="str">
        <x:v>一般變化</x:v>
      </x:c>
      <x:c r="I78" s="36" t="str">
        <x:v>SYNTHETIC</x:v>
      </x:c>
    </x:row>
    <x:row r="79">
      <x:c r="A79" s="36" t="n">
        <x:v>10</x:v>
      </x:c>
      <x:c r="B79" s="36" t="n">
        <x:v>54</x:v>
      </x:c>
      <x:c r="C79" s="36" t="str">
        <x:v>Z-NE</x:v>
      </x:c>
      <x:c r="D79" s="36" t="n">
        <x:v>3</x:v>
      </x:c>
      <x:c r="E79" s="36" t="n">
        <x:v>4</x:v>
      </x:c>
      <x:c r="F79" s="36" t="n">
        <x:v>22</x:v>
      </x:c>
      <x:c r="G79" s="36" t="n">
        <x:v>29</x:v>
      </x:c>
      <x:c r="H79" s="36" t="str">
        <x:v>一般變化</x:v>
      </x:c>
      <x:c r="I79" s="36" t="str">
        <x:v>SYNTHETIC</x:v>
      </x:c>
    </x:row>
    <x:row r="80">
      <x:c r="A80" s="36" t="n">
        <x:v>10</x:v>
      </x:c>
      <x:c r="B80" s="36" t="n">
        <x:v>54</x:v>
      </x:c>
      <x:c r="C80" s="36" t="str">
        <x:v>Z-E</x:v>
      </x:c>
      <x:c r="D80" s="36" t="n">
        <x:v>5</x:v>
      </x:c>
      <x:c r="E80" s="36" t="n">
        <x:v>3</x:v>
      </x:c>
      <x:c r="F80" s="36" t="n">
        <x:v>32</x:v>
      </x:c>
      <x:c r="G80" s="36" t="n">
        <x:v>54</x:v>
      </x:c>
      <x:c r="H80" s="36" t="str">
        <x:v>一般變化</x:v>
      </x:c>
      <x:c r="I80" s="36" t="str">
        <x:v>SYNTHETIC</x:v>
      </x:c>
    </x:row>
    <x:row r="81">
      <x:c r="A81" s="36" t="n">
        <x:v>10</x:v>
      </x:c>
      <x:c r="B81" s="36" t="n">
        <x:v>54</x:v>
      </x:c>
      <x:c r="C81" s="36" t="str">
        <x:v>Z-SE</x:v>
      </x:c>
      <x:c r="D81" s="36" t="n">
        <x:v>4</x:v>
      </x:c>
      <x:c r="E81" s="36" t="n">
        <x:v>4</x:v>
      </x:c>
      <x:c r="F81" s="36" t="n">
        <x:v>27</x:v>
      </x:c>
      <x:c r="G81" s="36" t="n">
        <x:v>29</x:v>
      </x:c>
      <x:c r="H81" s="36" t="str">
        <x:v>一般變化</x:v>
      </x:c>
      <x:c r="I81" s="36" t="str">
        <x:v>SYNTHETIC</x:v>
      </x:c>
    </x:row>
    <x:row r="82">
      <x:c r="A82" s="36" t="n">
        <x:v>10</x:v>
      </x:c>
      <x:c r="B82" s="36" t="n">
        <x:v>54</x:v>
      </x:c>
      <x:c r="C82" s="36" t="str">
        <x:v>Z-ISL</x:v>
      </x:c>
      <x:c r="D82" s="36" t="n">
        <x:v>2</x:v>
      </x:c>
      <x:c r="E82" s="36" t="n">
        <x:v>3</x:v>
      </x:c>
      <x:c r="F82" s="36" t="n">
        <x:v>24</x:v>
      </x:c>
      <x:c r="G82" s="36" t="n">
        <x:v>48</x:v>
      </x:c>
      <x:c r="H82" s="36" t="str">
        <x:v>一般變化</x:v>
      </x:c>
      <x:c r="I82" s="36" t="str">
        <x:v>SYNTHETIC</x:v>
      </x:c>
    </x:row>
    <x:row r="83">
      <x:c r="A83" s="36" t="n">
        <x:v>10</x:v>
      </x:c>
      <x:c r="B83" s="36" t="n">
        <x:v>54</x:v>
      </x:c>
      <x:c r="C83" s="36" t="str">
        <x:v>Z-REAR</x:v>
      </x:c>
      <x:c r="D83" s="36" t="n">
        <x:v>3</x:v>
      </x:c>
      <x:c r="E83" s="36" t="n">
        <x:v>4</x:v>
      </x:c>
      <x:c r="F83" s="36" t="n">
        <x:v>23</x:v>
      </x:c>
      <x:c r="G83" s="36" t="n">
        <x:v>38</x:v>
      </x:c>
      <x:c r="H83" s="36" t="str">
        <x:v>一般變化</x:v>
      </x:c>
      <x:c r="I83" s="36" t="str">
        <x:v>SYNTHETIC</x:v>
      </x:c>
    </x:row>
    <x:row r="84">
      <x:c r="A84" s="36" t="n">
        <x:v>11</x:v>
      </x:c>
      <x:c r="B84" s="36" t="n">
        <x:v>60</x:v>
      </x:c>
      <x:c r="C84" s="36" t="str">
        <x:v>Z-NW</x:v>
      </x:c>
      <x:c r="D84" s="36" t="n">
        <x:v>3</x:v>
      </x:c>
      <x:c r="E84" s="36" t="n">
        <x:v>4</x:v>
      </x:c>
      <x:c r="F84" s="36" t="n">
        <x:v>29</x:v>
      </x:c>
      <x:c r="G84" s="36" t="n">
        <x:v>32</x:v>
      </x:c>
      <x:c r="H84" s="36" t="str">
        <x:v>一般變化</x:v>
      </x:c>
      <x:c r="I84" s="36" t="str">
        <x:v>SYNTHETIC</x:v>
      </x:c>
    </x:row>
    <x:row r="85">
      <x:c r="A85" s="36" t="n">
        <x:v>11</x:v>
      </x:c>
      <x:c r="B85" s="36" t="n">
        <x:v>60</x:v>
      </x:c>
      <x:c r="C85" s="36" t="str">
        <x:v>Z-CW</x:v>
      </x:c>
      <x:c r="D85" s="36" t="n">
        <x:v>3</x:v>
      </x:c>
      <x:c r="E85" s="36" t="n">
        <x:v>3</x:v>
      </x:c>
      <x:c r="F85" s="36" t="n">
        <x:v>26</x:v>
      </x:c>
      <x:c r="G85" s="36" t="n">
        <x:v>53</x:v>
      </x:c>
      <x:c r="H85" s="36" t="str">
        <x:v>一般變化</x:v>
      </x:c>
      <x:c r="I85" s="36" t="str">
        <x:v>SYNTHETIC</x:v>
      </x:c>
    </x:row>
    <x:row r="86">
      <x:c r="A86" s="36" t="n">
        <x:v>11</x:v>
      </x:c>
      <x:c r="B86" s="36" t="n">
        <x:v>60</x:v>
      </x:c>
      <x:c r="C86" s="36" t="str">
        <x:v>Z-SW</x:v>
      </x:c>
      <x:c r="D86" s="36" t="n">
        <x:v>3</x:v>
      </x:c>
      <x:c r="E86" s="36" t="n">
        <x:v>2</x:v>
      </x:c>
      <x:c r="F86" s="36" t="n">
        <x:v>28</x:v>
      </x:c>
      <x:c r="G86" s="36" t="n">
        <x:v>76</x:v>
      </x:c>
      <x:c r="H86" s="36" t="str">
        <x:v>一般變化</x:v>
      </x:c>
      <x:c r="I86" s="36" t="str">
        <x:v>SYNTHETIC</x:v>
      </x:c>
    </x:row>
    <x:row r="87">
      <x:c r="A87" s="36" t="n">
        <x:v>11</x:v>
      </x:c>
      <x:c r="B87" s="36" t="n">
        <x:v>60</x:v>
      </x:c>
      <x:c r="C87" s="36" t="str">
        <x:v>Z-NE</x:v>
      </x:c>
      <x:c r="D87" s="36" t="n">
        <x:v>3</x:v>
      </x:c>
      <x:c r="E87" s="36" t="n">
        <x:v>3</x:v>
      </x:c>
      <x:c r="F87" s="36" t="n">
        <x:v>27</x:v>
      </x:c>
      <x:c r="G87" s="36" t="n">
        <x:v>57</x:v>
      </x:c>
      <x:c r="H87" s="36" t="str">
        <x:v>一般變化</x:v>
      </x:c>
      <x:c r="I87" s="36" t="str">
        <x:v>SYNTHETIC</x:v>
      </x:c>
    </x:row>
    <x:row r="88">
      <x:c r="A88" s="36" t="n">
        <x:v>11</x:v>
      </x:c>
      <x:c r="B88" s="36" t="n">
        <x:v>60</x:v>
      </x:c>
      <x:c r="C88" s="36" t="str">
        <x:v>Z-E</x:v>
      </x:c>
      <x:c r="D88" s="36" t="n">
        <x:v>4</x:v>
      </x:c>
      <x:c r="E88" s="36" t="n">
        <x:v>5</x:v>
      </x:c>
      <x:c r="F88" s="36" t="n">
        <x:v>33</x:v>
      </x:c>
      <x:c r="G88" s="36" t="n">
        <x:v>30</x:v>
      </x:c>
      <x:c r="H88" s="36" t="str">
        <x:v>一般變化</x:v>
      </x:c>
      <x:c r="I88" s="36" t="str">
        <x:v>SYNTHETIC</x:v>
      </x:c>
    </x:row>
    <x:row r="89">
      <x:c r="A89" s="36" t="n">
        <x:v>11</x:v>
      </x:c>
      <x:c r="B89" s="36" t="n">
        <x:v>60</x:v>
      </x:c>
      <x:c r="C89" s="36" t="str">
        <x:v>Z-SE</x:v>
      </x:c>
      <x:c r="D89" s="36" t="n">
        <x:v>4</x:v>
      </x:c>
      <x:c r="E89" s="36" t="n">
        <x:v>3</x:v>
      </x:c>
      <x:c r="F89" s="36" t="n">
        <x:v>32</x:v>
      </x:c>
      <x:c r="G89" s="36" t="n">
        <x:v>51</x:v>
      </x:c>
      <x:c r="H89" s="36" t="str">
        <x:v>一般變化</x:v>
      </x:c>
      <x:c r="I89" s="36" t="str">
        <x:v>SYNTHETIC</x:v>
      </x:c>
    </x:row>
    <x:row r="90">
      <x:c r="A90" s="36" t="n">
        <x:v>11</x:v>
      </x:c>
      <x:c r="B90" s="36" t="n">
        <x:v>60</x:v>
      </x:c>
      <x:c r="C90" s="36" t="str">
        <x:v>Z-ISL</x:v>
      </x:c>
      <x:c r="D90" s="36" t="n">
        <x:v>2</x:v>
      </x:c>
      <x:c r="E90" s="36" t="n">
        <x:v>3</x:v>
      </x:c>
      <x:c r="F90" s="36" t="n">
        <x:v>20</x:v>
      </x:c>
      <x:c r="G90" s="36" t="n">
        <x:v>60</x:v>
      </x:c>
      <x:c r="H90" s="36" t="str">
        <x:v>一般變化</x:v>
      </x:c>
      <x:c r="I90" s="36" t="str">
        <x:v>SYNTHETIC</x:v>
      </x:c>
    </x:row>
    <x:row r="91">
      <x:c r="A91" s="36" t="n">
        <x:v>11</x:v>
      </x:c>
      <x:c r="B91" s="36" t="n">
        <x:v>60</x:v>
      </x:c>
      <x:c r="C91" s="36" t="str">
        <x:v>Z-REAR</x:v>
      </x:c>
      <x:c r="D91" s="36" t="n">
        <x:v>3</x:v>
      </x:c>
      <x:c r="E91" s="36" t="n">
        <x:v>5</x:v>
      </x:c>
      <x:c r="F91" s="36" t="n">
        <x:v>23</x:v>
      </x:c>
      <x:c r="G91" s="36" t="n">
        <x:v>22</x:v>
      </x:c>
      <x:c r="H91" s="36" t="str">
        <x:v>一般變化</x:v>
      </x:c>
      <x:c r="I91" s="36" t="str">
        <x:v>SYNTHETIC</x:v>
      </x:c>
    </x:row>
    <x:row r="92">
      <x:c r="A92" s="36" t="n">
        <x:v>12</x:v>
      </x:c>
      <x:c r="B92" s="36" t="n">
        <x:v>66</x:v>
      </x:c>
      <x:c r="C92" s="36" t="str">
        <x:v>Z-NW</x:v>
      </x:c>
      <x:c r="D92" s="36" t="n">
        <x:v>3</x:v>
      </x:c>
      <x:c r="E92" s="36" t="n">
        <x:v>4</x:v>
      </x:c>
      <x:c r="F92" s="36" t="n">
        <x:v>28</x:v>
      </x:c>
      <x:c r="G92" s="36" t="n">
        <x:v>41</x:v>
      </x:c>
      <x:c r="H92" s="36" t="str">
        <x:v>一般變化</x:v>
      </x:c>
      <x:c r="I92" s="36" t="str">
        <x:v>SYNTHETIC</x:v>
      </x:c>
    </x:row>
    <x:row r="93">
      <x:c r="A93" s="36" t="n">
        <x:v>12</x:v>
      </x:c>
      <x:c r="B93" s="36" t="n">
        <x:v>66</x:v>
      </x:c>
      <x:c r="C93" s="36" t="str">
        <x:v>Z-CW</x:v>
      </x:c>
      <x:c r="D93" s="36" t="n">
        <x:v>3</x:v>
      </x:c>
      <x:c r="E93" s="36" t="n">
        <x:v>4</x:v>
      </x:c>
      <x:c r="F93" s="36" t="n">
        <x:v>24</x:v>
      </x:c>
      <x:c r="G93" s="36" t="n">
        <x:v>33</x:v>
      </x:c>
      <x:c r="H93" s="36" t="str">
        <x:v>一般變化</x:v>
      </x:c>
      <x:c r="I93" s="36" t="str">
        <x:v>SYNTHETIC</x:v>
      </x:c>
    </x:row>
    <x:row r="94">
      <x:c r="A94" s="36" t="n">
        <x:v>12</x:v>
      </x:c>
      <x:c r="B94" s="36" t="n">
        <x:v>66</x:v>
      </x:c>
      <x:c r="C94" s="36" t="str">
        <x:v>Z-SW</x:v>
      </x:c>
      <x:c r="D94" s="36" t="n">
        <x:v>4</x:v>
      </x:c>
      <x:c r="E94" s="36" t="n">
        <x:v>1</x:v>
      </x:c>
      <x:c r="F94" s="36" t="n">
        <x:v>27</x:v>
      </x:c>
      <x:c r="G94" s="36" t="n">
        <x:v>87</x:v>
      </x:c>
      <x:c r="H94" s="36" t="str">
        <x:v>一般變化</x:v>
      </x:c>
      <x:c r="I94" s="36" t="str">
        <x:v>SYNTHETIC</x:v>
      </x:c>
    </x:row>
    <x:row r="95">
      <x:c r="A95" s="36" t="n">
        <x:v>12</x:v>
      </x:c>
      <x:c r="B95" s="36" t="n">
        <x:v>66</x:v>
      </x:c>
      <x:c r="C95" s="36" t="str">
        <x:v>Z-NE</x:v>
      </x:c>
      <x:c r="D95" s="36" t="n">
        <x:v>2</x:v>
      </x:c>
      <x:c r="E95" s="36" t="n">
        <x:v>5</x:v>
      </x:c>
      <x:c r="F95" s="36" t="n">
        <x:v>24</x:v>
      </x:c>
      <x:c r="G95" s="36" t="n">
        <x:v>10</x:v>
      </x:c>
      <x:c r="H95" s="36" t="str">
        <x:v>一般變化</x:v>
      </x:c>
      <x:c r="I95" s="36" t="str">
        <x:v>SYNTHETIC</x:v>
      </x:c>
    </x:row>
    <x:row r="96">
      <x:c r="A96" s="36" t="n">
        <x:v>12</x:v>
      </x:c>
      <x:c r="B96" s="36" t="n">
        <x:v>66</x:v>
      </x:c>
      <x:c r="C96" s="36" t="str">
        <x:v>Z-E</x:v>
      </x:c>
      <x:c r="D96" s="36" t="n">
        <x:v>4</x:v>
      </x:c>
      <x:c r="E96" s="36" t="n">
        <x:v>3</x:v>
      </x:c>
      <x:c r="F96" s="36" t="n">
        <x:v>31</x:v>
      </x:c>
      <x:c r="G96" s="36" t="n">
        <x:v>59</x:v>
      </x:c>
      <x:c r="H96" s="36" t="str">
        <x:v>一般變化</x:v>
      </x:c>
      <x:c r="I96" s="36" t="str">
        <x:v>SYNTHETIC</x:v>
      </x:c>
    </x:row>
    <x:row r="97">
      <x:c r="A97" s="36" t="n">
        <x:v>12</x:v>
      </x:c>
      <x:c r="B97" s="36" t="n">
        <x:v>66</x:v>
      </x:c>
      <x:c r="C97" s="36" t="str">
        <x:v>Z-SE</x:v>
      </x:c>
      <x:c r="D97" s="36" t="n">
        <x:v>5</x:v>
      </x:c>
      <x:c r="E97" s="36" t="n">
        <x:v>4</x:v>
      </x:c>
      <x:c r="F97" s="36" t="n">
        <x:v>40</x:v>
      </x:c>
      <x:c r="G97" s="36" t="n">
        <x:v>48</x:v>
      </x:c>
      <x:c r="H97" s="36" t="str">
        <x:v>一般變化</x:v>
      </x:c>
      <x:c r="I97" s="36" t="str">
        <x:v>SYNTHETIC</x:v>
      </x:c>
    </x:row>
    <x:row r="98">
      <x:c r="A98" s="36" t="n">
        <x:v>12</x:v>
      </x:c>
      <x:c r="B98" s="36" t="n">
        <x:v>66</x:v>
      </x:c>
      <x:c r="C98" s="36" t="str">
        <x:v>Z-ISL</x:v>
      </x:c>
      <x:c r="D98" s="36" t="n">
        <x:v>1</x:v>
      </x:c>
      <x:c r="E98" s="36" t="n">
        <x:v>3</x:v>
      </x:c>
      <x:c r="F98" s="36" t="n">
        <x:v>16</x:v>
      </x:c>
      <x:c r="G98" s="36" t="n">
        <x:v>62</x:v>
      </x:c>
      <x:c r="H98" s="36" t="str">
        <x:v>一般變化</x:v>
      </x:c>
      <x:c r="I98" s="36" t="str">
        <x:v>SYNTHETIC</x:v>
      </x:c>
    </x:row>
    <x:row r="99">
      <x:c r="A99" s="36" t="n">
        <x:v>12</x:v>
      </x:c>
      <x:c r="B99" s="36" t="n">
        <x:v>66</x:v>
      </x:c>
      <x:c r="C99" s="36" t="str">
        <x:v>Z-REAR</x:v>
      </x:c>
      <x:c r="D99" s="36" t="n">
        <x:v>3</x:v>
      </x:c>
      <x:c r="E99" s="36" t="n">
        <x:v>5</x:v>
      </x:c>
      <x:c r="F99" s="36" t="n">
        <x:v>26</x:v>
      </x:c>
      <x:c r="G99" s="36" t="n">
        <x:v>11</x:v>
      </x:c>
      <x:c r="H99" s="36" t="str">
        <x:v>一般變化</x:v>
      </x:c>
      <x:c r="I99" s="36" t="str">
        <x:v>SYNTHETIC</x:v>
      </x:c>
    </x:row>
  </x:sheetData>
  <x:mergeCells>
    <x:mergeCell ref="A1:I1"/>
  </x:mergeCells>
  <x:conditionalFormatting sqref="D4:D9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3800f02aee6461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2" hidden="0" customWidth="1"/>
    <x:col min="5" max="5" width="18" hidden="0" customWidth="1"/>
    <x:col min="6" max="6" width="52" hidden="0" customWidth="1"/>
    <x:col min="7" max="7" width="18" hidden="0" customWidth="1"/>
    <x:col min="8" max="8" width="16" hidden="0" customWidth="1"/>
    <x:col min="9" max="9" width="16" hidden="0" customWidth="1"/>
    <x:col min="10" max="10" width="20" hidden="0" customWidth="1"/>
    <x:col min="11" max="11" width="18" hidden="0" customWidth="1"/>
    <x:col min="12" max="12" width="42" hidden="0" customWidth="1"/>
  </x:cols>
  <x:sheetData>
    <x:row r="1" ht="30" customHeight="1">
      <x:c r="A1" s="5" t="str">
        <x:v>合成情報報告與真實狀態（供AAR）</x:v>
      </x:c>
    </x:row>
    <x:row r="3">
      <x:c r="A3" s="14" t="str">
        <x:v>report_id</x:v>
      </x:c>
      <x:c r="B3" s="14" t="str">
        <x:v>turn</x:v>
      </x:c>
      <x:c r="C3" s="14" t="str">
        <x:v>recipient_actor</x:v>
      </x:c>
      <x:c r="D3" s="14" t="str">
        <x:v>zone_id</x:v>
      </x:c>
      <x:c r="E3" s="14" t="str">
        <x:v>report_type</x:v>
      </x:c>
      <x:c r="F3" s="14" t="str">
        <x:v>report_text</x:v>
      </x:c>
      <x:c r="G3" s="14" t="str">
        <x:v>source_reliability</x:v>
      </x:c>
      <x:c r="H3" s="14" t="str">
        <x:v>confidence_pct</x:v>
      </x:c>
      <x:c r="I3" s="14" t="str">
        <x:v>assessed_level</x:v>
      </x:c>
      <x:c r="J3" s="14" t="str">
        <x:v>teacher_truth_level</x:v>
      </x:c>
      <x:c r="K3" s="14" t="str">
        <x:v>visibility</x:v>
      </x:c>
      <x:c r="L3" s="14" t="str">
        <x:v>note</x:v>
      </x:c>
    </x:row>
    <x:row r="4">
      <x:c r="A4" s="36" t="str">
        <x:v>INT-001</x:v>
      </x:c>
      <x:c r="B4" s="36" t="n">
        <x:v>1</x:v>
      </x:c>
      <x:c r="C4" s="36" t="str">
        <x:v>BLUE</x:v>
      </x:c>
      <x:c r="D4" s="36" t="str">
        <x:v>Z-E</x:v>
      </x:c>
      <x:c r="E4" s="36" t="str">
        <x:v>後勤跡象</x:v>
      </x:c>
      <x:c r="F4" s="36" t="str">
        <x:v>觀測到後勤跡象強度約為等級1，可能在下一回合改變。</x:v>
      </x:c>
      <x:c r="G4" s="36" t="str">
        <x:v>C</x:v>
      </x:c>
      <x:c r="H4" s="36" t="n">
        <x:v>88</x:v>
      </x:c>
      <x:c r="I4" s="36" t="n">
        <x:v>1</x:v>
      </x:c>
      <x:c r="J4" s="36" t="n">
        <x:v>1</x:v>
      </x:c>
      <x:c r="K4" s="36" t="str">
        <x:v>學生可見</x:v>
      </x:c>
      <x:c r="L4" s="36" t="str">
        <x:v>合成情報；真實狀態僅供課後檢討</x:v>
      </x:c>
    </x:row>
    <x:row r="5">
      <x:c r="A5" s="36" t="str">
        <x:v>INT-002</x:v>
      </x:c>
      <x:c r="B5" s="36" t="n">
        <x:v>1</x:v>
      </x:c>
      <x:c r="C5" s="36" t="str">
        <x:v>BLUE</x:v>
      </x:c>
      <x:c r="D5" s="36" t="str">
        <x:v>Z-CW</x:v>
      </x:c>
      <x:c r="E5" s="36" t="str">
        <x:v>電磁活動</x:v>
      </x:c>
      <x:c r="F5" s="36" t="str">
        <x:v>觀測到電磁活動強度約為等級5，可能在下一回合改變。</x:v>
      </x:c>
      <x:c r="G5" s="36" t="str">
        <x:v>C</x:v>
      </x:c>
      <x:c r="H5" s="36" t="n">
        <x:v>63</x:v>
      </x:c>
      <x:c r="I5" s="36" t="n">
        <x:v>5</x:v>
      </x:c>
      <x:c r="J5" s="36" t="n">
        <x:v>5</x:v>
      </x:c>
      <x:c r="K5" s="36" t="str">
        <x:v>學生可見</x:v>
      </x:c>
      <x:c r="L5" s="36" t="str">
        <x:v>合成情報；真實狀態僅供課後檢討</x:v>
      </x:c>
    </x:row>
    <x:row r="6">
      <x:c r="A6" s="36" t="str">
        <x:v>INT-003</x:v>
      </x:c>
      <x:c r="B6" s="36" t="n">
        <x:v>1</x:v>
      </x:c>
      <x:c r="C6" s="36" t="str">
        <x:v>RED</x:v>
      </x:c>
      <x:c r="D6" s="36" t="str">
        <x:v>Z-NW</x:v>
      </x:c>
      <x:c r="E6" s="36" t="str">
        <x:v>後勤跡象</x:v>
      </x:c>
      <x:c r="F6" s="36" t="str">
        <x:v>觀測到後勤跡象強度約為等級5，可能在下一回合改變。</x:v>
      </x:c>
      <x:c r="G6" s="36" t="str">
        <x:v>C</x:v>
      </x:c>
      <x:c r="H6" s="36" t="n">
        <x:v>57</x:v>
      </x:c>
      <x:c r="I6" s="36" t="n">
        <x:v>5</x:v>
      </x:c>
      <x:c r="J6" s="36" t="n">
        <x:v>5</x:v>
      </x:c>
      <x:c r="K6" s="36" t="str">
        <x:v>學生可見</x:v>
      </x:c>
      <x:c r="L6" s="36" t="str">
        <x:v>合成情報；真實狀態僅供課後檢討</x:v>
      </x:c>
    </x:row>
    <x:row r="7">
      <x:c r="A7" s="36" t="str">
        <x:v>INT-004</x:v>
      </x:c>
      <x:c r="B7" s="36" t="n">
        <x:v>2</x:v>
      </x:c>
      <x:c r="C7" s="36" t="str">
        <x:v>BLUE</x:v>
      </x:c>
      <x:c r="D7" s="36" t="str">
        <x:v>Z-NE</x:v>
      </x:c>
      <x:c r="E7" s="36" t="str">
        <x:v>後勤跡象</x:v>
      </x:c>
      <x:c r="F7" s="36" t="str">
        <x:v>觀測到後勤跡象強度約為等級1，可能在下一回合改變。</x:v>
      </x:c>
      <x:c r="G7" s="36" t="str">
        <x:v>D</x:v>
      </x:c>
      <x:c r="H7" s="36" t="n">
        <x:v>88</x:v>
      </x:c>
      <x:c r="I7" s="36" t="n">
        <x:v>1</x:v>
      </x:c>
      <x:c r="J7" s="36" t="n">
        <x:v>1</x:v>
      </x:c>
      <x:c r="K7" s="36" t="str">
        <x:v>教師/白方可見</x:v>
      </x:c>
      <x:c r="L7" s="36" t="str">
        <x:v>合成情報；真實狀態僅供課後檢討</x:v>
      </x:c>
    </x:row>
    <x:row r="8">
      <x:c r="A8" s="36" t="str">
        <x:v>INT-005</x:v>
      </x:c>
      <x:c r="B8" s="36" t="n">
        <x:v>2</x:v>
      </x:c>
      <x:c r="C8" s="36" t="str">
        <x:v>BLUE</x:v>
      </x:c>
      <x:c r="D8" s="36" t="str">
        <x:v>Z-CW</x:v>
      </x:c>
      <x:c r="E8" s="36" t="str">
        <x:v>後勤跡象</x:v>
      </x:c>
      <x:c r="F8" s="36" t="str">
        <x:v>觀測到後勤跡象強度約為等級2，可能在下一回合改變。</x:v>
      </x:c>
      <x:c r="G8" s="36" t="str">
        <x:v>A</x:v>
      </x:c>
      <x:c r="H8" s="36" t="n">
        <x:v>48</x:v>
      </x:c>
      <x:c r="I8" s="36" t="n">
        <x:v>2</x:v>
      </x:c>
      <x:c r="J8" s="36" t="n">
        <x:v>2</x:v>
      </x:c>
      <x:c r="K8" s="36" t="str">
        <x:v>學生可見</x:v>
      </x:c>
      <x:c r="L8" s="36" t="str">
        <x:v>合成情報；真實狀態僅供課後檢討</x:v>
      </x:c>
    </x:row>
    <x:row r="9">
      <x:c r="A9" s="36" t="str">
        <x:v>INT-006</x:v>
      </x:c>
      <x:c r="B9" s="36" t="n">
        <x:v>2</x:v>
      </x:c>
      <x:c r="C9" s="36" t="str">
        <x:v>RED</x:v>
      </x:c>
      <x:c r="D9" s="36" t="str">
        <x:v>Z-SE</x:v>
      </x:c>
      <x:c r="E9" s="36" t="str">
        <x:v>外交訊號</x:v>
      </x:c>
      <x:c r="F9" s="36" t="str">
        <x:v>觀測到外交訊號強度約為等級5，可能在下一回合改變。</x:v>
      </x:c>
      <x:c r="G9" s="36" t="str">
        <x:v>A</x:v>
      </x:c>
      <x:c r="H9" s="36" t="n">
        <x:v>87</x:v>
      </x:c>
      <x:c r="I9" s="36" t="n">
        <x:v>5</x:v>
      </x:c>
      <x:c r="J9" s="36" t="n">
        <x:v>4</x:v>
      </x:c>
      <x:c r="K9" s="36" t="str">
        <x:v>學生可見</x:v>
      </x:c>
      <x:c r="L9" s="36" t="str">
        <x:v>合成情報；真實狀態僅供課後檢討</x:v>
      </x:c>
    </x:row>
    <x:row r="10">
      <x:c r="A10" s="36" t="str">
        <x:v>INT-007</x:v>
      </x:c>
      <x:c r="B10" s="36" t="n">
        <x:v>3</x:v>
      </x:c>
      <x:c r="C10" s="36" t="str">
        <x:v>BLUE</x:v>
      </x:c>
      <x:c r="D10" s="36" t="str">
        <x:v>Z-SE</x:v>
      </x:c>
      <x:c r="E10" s="36" t="str">
        <x:v>商船通報</x:v>
      </x:c>
      <x:c r="F10" s="36" t="str">
        <x:v>觀測到商船通報強度約為等級4，可能在下一回合改變。</x:v>
      </x:c>
      <x:c r="G10" s="36" t="str">
        <x:v>B</x:v>
      </x:c>
      <x:c r="H10" s="36" t="n">
        <x:v>51</x:v>
      </x:c>
      <x:c r="I10" s="36" t="n">
        <x:v>4</x:v>
      </x:c>
      <x:c r="J10" s="36" t="n">
        <x:v>4</x:v>
      </x:c>
      <x:c r="K10" s="36" t="str">
        <x:v>學生可見</x:v>
      </x:c>
      <x:c r="L10" s="36" t="str">
        <x:v>合成情報；真實狀態僅供課後檢討</x:v>
      </x:c>
    </x:row>
    <x:row r="11">
      <x:c r="A11" s="36" t="str">
        <x:v>INT-008</x:v>
      </x:c>
      <x:c r="B11" s="36" t="n">
        <x:v>3</x:v>
      </x:c>
      <x:c r="C11" s="36" t="str">
        <x:v>BLUE</x:v>
      </x:c>
      <x:c r="D11" s="36" t="str">
        <x:v>Z-NW</x:v>
      </x:c>
      <x:c r="E11" s="36" t="str">
        <x:v>商船通報</x:v>
      </x:c>
      <x:c r="F11" s="36" t="str">
        <x:v>觀測到商船通報強度約為等級1，可能在下一回合改變。</x:v>
      </x:c>
      <x:c r="G11" s="36" t="str">
        <x:v>C</x:v>
      </x:c>
      <x:c r="H11" s="36" t="n">
        <x:v>59</x:v>
      </x:c>
      <x:c r="I11" s="36" t="n">
        <x:v>1</x:v>
      </x:c>
      <x:c r="J11" s="36" t="n">
        <x:v>1</x:v>
      </x:c>
      <x:c r="K11" s="36" t="str">
        <x:v>教師/白方可見</x:v>
      </x:c>
      <x:c r="L11" s="36" t="str">
        <x:v>合成情報；真實狀態僅供課後檢討</x:v>
      </x:c>
    </x:row>
    <x:row r="12">
      <x:c r="A12" s="36" t="str">
        <x:v>INT-009</x:v>
      </x:c>
      <x:c r="B12" s="36" t="n">
        <x:v>3</x:v>
      </x:c>
      <x:c r="C12" s="36" t="str">
        <x:v>RED</x:v>
      </x:c>
      <x:c r="D12" s="36" t="str">
        <x:v>Z-SW</x:v>
      </x:c>
      <x:c r="E12" s="36" t="str">
        <x:v>後勤跡象</x:v>
      </x:c>
      <x:c r="F12" s="36" t="str">
        <x:v>觀測到後勤跡象強度約為等級2，可能在下一回合改變。</x:v>
      </x:c>
      <x:c r="G12" s="36" t="str">
        <x:v>D</x:v>
      </x:c>
      <x:c r="H12" s="36" t="n">
        <x:v>64</x:v>
      </x:c>
      <x:c r="I12" s="36" t="n">
        <x:v>2</x:v>
      </x:c>
      <x:c r="J12" s="36" t="n">
        <x:v>3</x:v>
      </x:c>
      <x:c r="K12" s="36" t="str">
        <x:v>學生可見</x:v>
      </x:c>
      <x:c r="L12" s="36" t="str">
        <x:v>合成情報；真實狀態僅供課後檢討</x:v>
      </x:c>
    </x:row>
    <x:row r="13">
      <x:c r="A13" s="36" t="str">
        <x:v>INT-010</x:v>
      </x:c>
      <x:c r="B13" s="36" t="n">
        <x:v>4</x:v>
      </x:c>
      <x:c r="C13" s="36" t="str">
        <x:v>BLUE</x:v>
      </x:c>
      <x:c r="D13" s="36" t="str">
        <x:v>Z-E</x:v>
      </x:c>
      <x:c r="E13" s="36" t="str">
        <x:v>後勤跡象</x:v>
      </x:c>
      <x:c r="F13" s="36" t="str">
        <x:v>觀測到後勤跡象強度約為等級1，可能在下一回合改變。</x:v>
      </x:c>
      <x:c r="G13" s="36" t="str">
        <x:v>B</x:v>
      </x:c>
      <x:c r="H13" s="36" t="n">
        <x:v>75</x:v>
      </x:c>
      <x:c r="I13" s="36" t="n">
        <x:v>1</x:v>
      </x:c>
      <x:c r="J13" s="36" t="n">
        <x:v>1</x:v>
      </x:c>
      <x:c r="K13" s="36" t="str">
        <x:v>學生可見</x:v>
      </x:c>
      <x:c r="L13" s="36" t="str">
        <x:v>合成情報；真實狀態僅供課後檢討</x:v>
      </x:c>
    </x:row>
    <x:row r="14">
      <x:c r="A14" s="36" t="str">
        <x:v>INT-011</x:v>
      </x:c>
      <x:c r="B14" s="36" t="n">
        <x:v>4</x:v>
      </x:c>
      <x:c r="C14" s="36" t="str">
        <x:v>BLUE</x:v>
      </x:c>
      <x:c r="D14" s="36" t="str">
        <x:v>Z-NE</x:v>
      </x:c>
      <x:c r="E14" s="36" t="str">
        <x:v>商船通報</x:v>
      </x:c>
      <x:c r="F14" s="36" t="str">
        <x:v>觀測到商船通報強度約為等級1，可能在下一回合改變。</x:v>
      </x:c>
      <x:c r="G14" s="36" t="str">
        <x:v>C</x:v>
      </x:c>
      <x:c r="H14" s="36" t="n">
        <x:v>69</x:v>
      </x:c>
      <x:c r="I14" s="36" t="n">
        <x:v>1</x:v>
      </x:c>
      <x:c r="J14" s="36" t="n">
        <x:v>1</x:v>
      </x:c>
      <x:c r="K14" s="36" t="str">
        <x:v>學生可見</x:v>
      </x:c>
      <x:c r="L14" s="36" t="str">
        <x:v>合成情報；真實狀態僅供課後檢討</x:v>
      </x:c>
    </x:row>
    <x:row r="15">
      <x:c r="A15" s="36" t="str">
        <x:v>INT-012</x:v>
      </x:c>
      <x:c r="B15" s="36" t="n">
        <x:v>4</x:v>
      </x:c>
      <x:c r="C15" s="36" t="str">
        <x:v>RED</x:v>
      </x:c>
      <x:c r="D15" s="36" t="str">
        <x:v>Z-NE</x:v>
      </x:c>
      <x:c r="E15" s="36" t="str">
        <x:v>空中活動</x:v>
      </x:c>
      <x:c r="F15" s="36" t="str">
        <x:v>觀測到空中活動強度約為等級3，可能在下一回合改變。</x:v>
      </x:c>
      <x:c r="G15" s="36" t="str">
        <x:v>D</x:v>
      </x:c>
      <x:c r="H15" s="36" t="n">
        <x:v>57</x:v>
      </x:c>
      <x:c r="I15" s="36" t="n">
        <x:v>3</x:v>
      </x:c>
      <x:c r="J15" s="36" t="n">
        <x:v>2</x:v>
      </x:c>
      <x:c r="K15" s="36" t="str">
        <x:v>教師/白方可見</x:v>
      </x:c>
      <x:c r="L15" s="36" t="str">
        <x:v>合成情報；真實狀態僅供課後檢討</x:v>
      </x:c>
    </x:row>
    <x:row r="16">
      <x:c r="A16" s="36" t="str">
        <x:v>INT-013</x:v>
      </x:c>
      <x:c r="B16" s="36" t="n">
        <x:v>5</x:v>
      </x:c>
      <x:c r="C16" s="36" t="str">
        <x:v>BLUE</x:v>
      </x:c>
      <x:c r="D16" s="36" t="str">
        <x:v>Z-NW</x:v>
      </x:c>
      <x:c r="E16" s="36" t="str">
        <x:v>外交訊號</x:v>
      </x:c>
      <x:c r="F16" s="36" t="str">
        <x:v>觀測到外交訊號強度約為等級4，可能在下一回合改變。</x:v>
      </x:c>
      <x:c r="G16" s="36" t="str">
        <x:v>B</x:v>
      </x:c>
      <x:c r="H16" s="36" t="n">
        <x:v>69</x:v>
      </x:c>
      <x:c r="I16" s="36" t="n">
        <x:v>4</x:v>
      </x:c>
      <x:c r="J16" s="36" t="n">
        <x:v>3</x:v>
      </x:c>
      <x:c r="K16" s="36" t="str">
        <x:v>學生可見</x:v>
      </x:c>
      <x:c r="L16" s="36" t="str">
        <x:v>合成情報；真實狀態僅供課後檢討</x:v>
      </x:c>
    </x:row>
    <x:row r="17">
      <x:c r="A17" s="36" t="str">
        <x:v>INT-014</x:v>
      </x:c>
      <x:c r="B17" s="36" t="n">
        <x:v>5</x:v>
      </x:c>
      <x:c r="C17" s="36" t="str">
        <x:v>BLUE</x:v>
      </x:c>
      <x:c r="D17" s="36" t="str">
        <x:v>Z-NW</x:v>
      </x:c>
      <x:c r="E17" s="36" t="str">
        <x:v>商船通報</x:v>
      </x:c>
      <x:c r="F17" s="36" t="str">
        <x:v>觀測到商船通報強度約為等級4，可能在下一回合改變。</x:v>
      </x:c>
      <x:c r="G17" s="36" t="str">
        <x:v>C</x:v>
      </x:c>
      <x:c r="H17" s="36" t="n">
        <x:v>85</x:v>
      </x:c>
      <x:c r="I17" s="36" t="n">
        <x:v>4</x:v>
      </x:c>
      <x:c r="J17" s="36" t="n">
        <x:v>3</x:v>
      </x:c>
      <x:c r="K17" s="36" t="str">
        <x:v>學生可見</x:v>
      </x:c>
      <x:c r="L17" s="36" t="str">
        <x:v>合成情報；真實狀態僅供課後檢討</x:v>
      </x:c>
    </x:row>
    <x:row r="18">
      <x:c r="A18" s="36" t="str">
        <x:v>INT-015</x:v>
      </x:c>
      <x:c r="B18" s="36" t="n">
        <x:v>5</x:v>
      </x:c>
      <x:c r="C18" s="36" t="str">
        <x:v>RED</x:v>
      </x:c>
      <x:c r="D18" s="36" t="str">
        <x:v>Z-NW</x:v>
      </x:c>
      <x:c r="E18" s="36" t="str">
        <x:v>電磁活動</x:v>
      </x:c>
      <x:c r="F18" s="36" t="str">
        <x:v>觀測到電磁活動強度約為等級3，可能在下一回合改變。</x:v>
      </x:c>
      <x:c r="G18" s="36" t="str">
        <x:v>C</x:v>
      </x:c>
      <x:c r="H18" s="36" t="n">
        <x:v>89</x:v>
      </x:c>
      <x:c r="I18" s="36" t="n">
        <x:v>3</x:v>
      </x:c>
      <x:c r="J18" s="36" t="n">
        <x:v>2</x:v>
      </x:c>
      <x:c r="K18" s="36" t="str">
        <x:v>學生可見</x:v>
      </x:c>
      <x:c r="L18" s="36" t="str">
        <x:v>合成情報；真實狀態僅供課後檢討</x:v>
      </x:c>
    </x:row>
    <x:row r="19">
      <x:c r="A19" s="36" t="str">
        <x:v>INT-016</x:v>
      </x:c>
      <x:c r="B19" s="36" t="n">
        <x:v>6</x:v>
      </x:c>
      <x:c r="C19" s="36" t="str">
        <x:v>BLUE</x:v>
      </x:c>
      <x:c r="D19" s="36" t="str">
        <x:v>Z-SE</x:v>
      </x:c>
      <x:c r="E19" s="36" t="str">
        <x:v>海上活動</x:v>
      </x:c>
      <x:c r="F19" s="36" t="str">
        <x:v>觀測到海上活動強度約為等級1，可能在下一回合改變。</x:v>
      </x:c>
      <x:c r="G19" s="36" t="str">
        <x:v>B</x:v>
      </x:c>
      <x:c r="H19" s="36" t="n">
        <x:v>58</x:v>
      </x:c>
      <x:c r="I19" s="36" t="n">
        <x:v>1</x:v>
      </x:c>
      <x:c r="J19" s="36" t="n">
        <x:v>1</x:v>
      </x:c>
      <x:c r="K19" s="36" t="str">
        <x:v>教師/白方可見</x:v>
      </x:c>
      <x:c r="L19" s="36" t="str">
        <x:v>合成情報；真實狀態僅供課後檢討</x:v>
      </x:c>
    </x:row>
    <x:row r="20">
      <x:c r="A20" s="36" t="str">
        <x:v>INT-017</x:v>
      </x:c>
      <x:c r="B20" s="36" t="n">
        <x:v>6</x:v>
      </x:c>
      <x:c r="C20" s="36" t="str">
        <x:v>BLUE</x:v>
      </x:c>
      <x:c r="D20" s="36" t="str">
        <x:v>Z-CW</x:v>
      </x:c>
      <x:c r="E20" s="36" t="str">
        <x:v>商船通報</x:v>
      </x:c>
      <x:c r="F20" s="36" t="str">
        <x:v>觀測到商船通報強度約為等級5，可能在下一回合改變。</x:v>
      </x:c>
      <x:c r="G20" s="36" t="str">
        <x:v>A</x:v>
      </x:c>
      <x:c r="H20" s="36" t="n">
        <x:v>81</x:v>
      </x:c>
      <x:c r="I20" s="36" t="n">
        <x:v>5</x:v>
      </x:c>
      <x:c r="J20" s="36" t="n">
        <x:v>5</x:v>
      </x:c>
      <x:c r="K20" s="36" t="str">
        <x:v>學生可見</x:v>
      </x:c>
      <x:c r="L20" s="36" t="str">
        <x:v>合成情報；真實狀態僅供課後檢討</x:v>
      </x:c>
    </x:row>
    <x:row r="21">
      <x:c r="A21" s="36" t="str">
        <x:v>INT-018</x:v>
      </x:c>
      <x:c r="B21" s="36" t="n">
        <x:v>6</x:v>
      </x:c>
      <x:c r="C21" s="36" t="str">
        <x:v>RED</x:v>
      </x:c>
      <x:c r="D21" s="36" t="str">
        <x:v>Z-E</x:v>
      </x:c>
      <x:c r="E21" s="36" t="str">
        <x:v>外交訊號</x:v>
      </x:c>
      <x:c r="F21" s="36" t="str">
        <x:v>觀測到外交訊號強度約為等級5，可能在下一回合改變。</x:v>
      </x:c>
      <x:c r="G21" s="36" t="str">
        <x:v>A</x:v>
      </x:c>
      <x:c r="H21" s="36" t="n">
        <x:v>64</x:v>
      </x:c>
      <x:c r="I21" s="36" t="n">
        <x:v>5</x:v>
      </x:c>
      <x:c r="J21" s="36" t="n">
        <x:v>5</x:v>
      </x:c>
      <x:c r="K21" s="36" t="str">
        <x:v>學生可見</x:v>
      </x:c>
      <x:c r="L21" s="36" t="str">
        <x:v>合成情報；真實狀態僅供課後檢討</x:v>
      </x:c>
    </x:row>
    <x:row r="22">
      <x:c r="A22" s="36" t="str">
        <x:v>INT-019</x:v>
      </x:c>
      <x:c r="B22" s="36" t="n">
        <x:v>7</x:v>
      </x:c>
      <x:c r="C22" s="36" t="str">
        <x:v>BLUE</x:v>
      </x:c>
      <x:c r="D22" s="36" t="str">
        <x:v>Z-E</x:v>
      </x:c>
      <x:c r="E22" s="36" t="str">
        <x:v>海上活動</x:v>
      </x:c>
      <x:c r="F22" s="36" t="str">
        <x:v>觀測到海上活動強度約為等級4，可能在下一回合改變。</x:v>
      </x:c>
      <x:c r="G22" s="36" t="str">
        <x:v>A</x:v>
      </x:c>
      <x:c r="H22" s="36" t="n">
        <x:v>74</x:v>
      </x:c>
      <x:c r="I22" s="36" t="n">
        <x:v>4</x:v>
      </x:c>
      <x:c r="J22" s="36" t="n">
        <x:v>5</x:v>
      </x:c>
      <x:c r="K22" s="36" t="str">
        <x:v>學生可見</x:v>
      </x:c>
      <x:c r="L22" s="36" t="str">
        <x:v>合成情報；真實狀態僅供課後檢討</x:v>
      </x:c>
    </x:row>
    <x:row r="23">
      <x:c r="A23" s="36" t="str">
        <x:v>INT-020</x:v>
      </x:c>
      <x:c r="B23" s="36" t="n">
        <x:v>7</x:v>
      </x:c>
      <x:c r="C23" s="36" t="str">
        <x:v>BLUE</x:v>
      </x:c>
      <x:c r="D23" s="36" t="str">
        <x:v>Z-SW</x:v>
      </x:c>
      <x:c r="E23" s="36" t="str">
        <x:v>空中活動</x:v>
      </x:c>
      <x:c r="F23" s="36" t="str">
        <x:v>觀測到空中活動強度約為等級5，可能在下一回合改變。</x:v>
      </x:c>
      <x:c r="G23" s="36" t="str">
        <x:v>B</x:v>
      </x:c>
      <x:c r="H23" s="36" t="n">
        <x:v>74</x:v>
      </x:c>
      <x:c r="I23" s="36" t="n">
        <x:v>5</x:v>
      </x:c>
      <x:c r="J23" s="36" t="n">
        <x:v>4</x:v>
      </x:c>
      <x:c r="K23" s="36" t="str">
        <x:v>教師/白方可見</x:v>
      </x:c>
      <x:c r="L23" s="36" t="str">
        <x:v>合成情報；真實狀態僅供課後檢討</x:v>
      </x:c>
    </x:row>
    <x:row r="24">
      <x:c r="A24" s="36" t="str">
        <x:v>INT-021</x:v>
      </x:c>
      <x:c r="B24" s="36" t="n">
        <x:v>7</x:v>
      </x:c>
      <x:c r="C24" s="36" t="str">
        <x:v>RED</x:v>
      </x:c>
      <x:c r="D24" s="36" t="str">
        <x:v>Z-SE</x:v>
      </x:c>
      <x:c r="E24" s="36" t="str">
        <x:v>空中活動</x:v>
      </x:c>
      <x:c r="F24" s="36" t="str">
        <x:v>觀測到空中活動強度約為等級4，可能在下一回合改變。</x:v>
      </x:c>
      <x:c r="G24" s="36" t="str">
        <x:v>D</x:v>
      </x:c>
      <x:c r="H24" s="36" t="n">
        <x:v>89</x:v>
      </x:c>
      <x:c r="I24" s="36" t="n">
        <x:v>4</x:v>
      </x:c>
      <x:c r="J24" s="36" t="n">
        <x:v>5</x:v>
      </x:c>
      <x:c r="K24" s="36" t="str">
        <x:v>學生可見</x:v>
      </x:c>
      <x:c r="L24" s="36" t="str">
        <x:v>合成情報；真實狀態僅供課後檢討</x:v>
      </x:c>
    </x:row>
    <x:row r="25">
      <x:c r="A25" s="36" t="str">
        <x:v>INT-022</x:v>
      </x:c>
      <x:c r="B25" s="36" t="n">
        <x:v>8</x:v>
      </x:c>
      <x:c r="C25" s="36" t="str">
        <x:v>BLUE</x:v>
      </x:c>
      <x:c r="D25" s="36" t="str">
        <x:v>Z-NW</x:v>
      </x:c>
      <x:c r="E25" s="36" t="str">
        <x:v>空中活動</x:v>
      </x:c>
      <x:c r="F25" s="36" t="str">
        <x:v>觀測到空中活動強度約為等級4，可能在下一回合改變。</x:v>
      </x:c>
      <x:c r="G25" s="36" t="str">
        <x:v>B</x:v>
      </x:c>
      <x:c r="H25" s="36" t="n">
        <x:v>77</x:v>
      </x:c>
      <x:c r="I25" s="36" t="n">
        <x:v>4</x:v>
      </x:c>
      <x:c r="J25" s="36" t="n">
        <x:v>5</x:v>
      </x:c>
      <x:c r="K25" s="36" t="str">
        <x:v>學生可見</x:v>
      </x:c>
      <x:c r="L25" s="36" t="str">
        <x:v>合成情報；真實狀態僅供課後檢討</x:v>
      </x:c>
    </x:row>
    <x:row r="26">
      <x:c r="A26" s="36" t="str">
        <x:v>INT-023</x:v>
      </x:c>
      <x:c r="B26" s="36" t="n">
        <x:v>8</x:v>
      </x:c>
      <x:c r="C26" s="36" t="str">
        <x:v>BLUE</x:v>
      </x:c>
      <x:c r="D26" s="36" t="str">
        <x:v>Z-SE</x:v>
      </x:c>
      <x:c r="E26" s="36" t="str">
        <x:v>空中活動</x:v>
      </x:c>
      <x:c r="F26" s="36" t="str">
        <x:v>觀測到空中活動強度約為等級4，可能在下一回合改變。</x:v>
      </x:c>
      <x:c r="G26" s="36" t="str">
        <x:v>C</x:v>
      </x:c>
      <x:c r="H26" s="36" t="n">
        <x:v>59</x:v>
      </x:c>
      <x:c r="I26" s="36" t="n">
        <x:v>4</x:v>
      </x:c>
      <x:c r="J26" s="36" t="n">
        <x:v>4</x:v>
      </x:c>
      <x:c r="K26" s="36" t="str">
        <x:v>學生可見</x:v>
      </x:c>
      <x:c r="L26" s="36" t="str">
        <x:v>合成情報；真實狀態僅供課後檢討</x:v>
      </x:c>
    </x:row>
    <x:row r="27">
      <x:c r="A27" s="36" t="str">
        <x:v>INT-024</x:v>
      </x:c>
      <x:c r="B27" s="36" t="n">
        <x:v>8</x:v>
      </x:c>
      <x:c r="C27" s="36" t="str">
        <x:v>RED</x:v>
      </x:c>
      <x:c r="D27" s="36" t="str">
        <x:v>Z-CW</x:v>
      </x:c>
      <x:c r="E27" s="36" t="str">
        <x:v>商船通報</x:v>
      </x:c>
      <x:c r="F27" s="36" t="str">
        <x:v>觀測到商船通報強度約為等級3，可能在下一回合改變。</x:v>
      </x:c>
      <x:c r="G27" s="36" t="str">
        <x:v>C</x:v>
      </x:c>
      <x:c r="H27" s="36" t="n">
        <x:v>81</x:v>
      </x:c>
      <x:c r="I27" s="36" t="n">
        <x:v>3</x:v>
      </x:c>
      <x:c r="J27" s="36" t="n">
        <x:v>3</x:v>
      </x:c>
      <x:c r="K27" s="36" t="str">
        <x:v>教師/白方可見</x:v>
      </x:c>
      <x:c r="L27" s="36" t="str">
        <x:v>合成情報；真實狀態僅供課後檢討</x:v>
      </x:c>
    </x:row>
    <x:row r="28">
      <x:c r="A28" s="36" t="str">
        <x:v>INT-025</x:v>
      </x:c>
      <x:c r="B28" s="36" t="n">
        <x:v>9</x:v>
      </x:c>
      <x:c r="C28" s="36" t="str">
        <x:v>BLUE</x:v>
      </x:c>
      <x:c r="D28" s="36" t="str">
        <x:v>Z-SW</x:v>
      </x:c>
      <x:c r="E28" s="36" t="str">
        <x:v>空中活動</x:v>
      </x:c>
      <x:c r="F28" s="36" t="str">
        <x:v>觀測到空中活動強度約為等級4，可能在下一回合改變。</x:v>
      </x:c>
      <x:c r="G28" s="36" t="str">
        <x:v>C</x:v>
      </x:c>
      <x:c r="H28" s="36" t="n">
        <x:v>61</x:v>
      </x:c>
      <x:c r="I28" s="36" t="n">
        <x:v>4</x:v>
      </x:c>
      <x:c r="J28" s="36" t="n">
        <x:v>4</x:v>
      </x:c>
      <x:c r="K28" s="36" t="str">
        <x:v>學生可見</x:v>
      </x:c>
      <x:c r="L28" s="36" t="str">
        <x:v>合成情報；真實狀態僅供課後檢討</x:v>
      </x:c>
    </x:row>
    <x:row r="29">
      <x:c r="A29" s="36" t="str">
        <x:v>INT-026</x:v>
      </x:c>
      <x:c r="B29" s="36" t="n">
        <x:v>9</x:v>
      </x:c>
      <x:c r="C29" s="36" t="str">
        <x:v>BLUE</x:v>
      </x:c>
      <x:c r="D29" s="36" t="str">
        <x:v>Z-NE</x:v>
      </x:c>
      <x:c r="E29" s="36" t="str">
        <x:v>電磁活動</x:v>
      </x:c>
      <x:c r="F29" s="36" t="str">
        <x:v>觀測到電磁活動強度約為等級5，可能在下一回合改變。</x:v>
      </x:c>
      <x:c r="G29" s="36" t="str">
        <x:v>D</x:v>
      </x:c>
      <x:c r="H29" s="36" t="n">
        <x:v>80</x:v>
      </x:c>
      <x:c r="I29" s="36" t="n">
        <x:v>5</x:v>
      </x:c>
      <x:c r="J29" s="36" t="n">
        <x:v>5</x:v>
      </x:c>
      <x:c r="K29" s="36" t="str">
        <x:v>學生可見</x:v>
      </x:c>
      <x:c r="L29" s="36" t="str">
        <x:v>合成情報；真實狀態僅供課後檢討</x:v>
      </x:c>
    </x:row>
    <x:row r="30">
      <x:c r="A30" s="36" t="str">
        <x:v>INT-027</x:v>
      </x:c>
      <x:c r="B30" s="36" t="n">
        <x:v>9</x:v>
      </x:c>
      <x:c r="C30" s="36" t="str">
        <x:v>RED</x:v>
      </x:c>
      <x:c r="D30" s="36" t="str">
        <x:v>Z-NW</x:v>
      </x:c>
      <x:c r="E30" s="36" t="str">
        <x:v>空中活動</x:v>
      </x:c>
      <x:c r="F30" s="36" t="str">
        <x:v>觀測到空中活動強度約為等級2，可能在下一回合改變。</x:v>
      </x:c>
      <x:c r="G30" s="36" t="str">
        <x:v>B</x:v>
      </x:c>
      <x:c r="H30" s="36" t="n">
        <x:v>68</x:v>
      </x:c>
      <x:c r="I30" s="36" t="n">
        <x:v>2</x:v>
      </x:c>
      <x:c r="J30" s="36" t="n">
        <x:v>3</x:v>
      </x:c>
      <x:c r="K30" s="36" t="str">
        <x:v>學生可見</x:v>
      </x:c>
      <x:c r="L30" s="36" t="str">
        <x:v>合成情報；真實狀態僅供課後檢討</x:v>
      </x:c>
    </x:row>
    <x:row r="31">
      <x:c r="A31" s="36" t="str">
        <x:v>INT-028</x:v>
      </x:c>
      <x:c r="B31" s="36" t="n">
        <x:v>10</x:v>
      </x:c>
      <x:c r="C31" s="36" t="str">
        <x:v>BLUE</x:v>
      </x:c>
      <x:c r="D31" s="36" t="str">
        <x:v>Z-NW</x:v>
      </x:c>
      <x:c r="E31" s="36" t="str">
        <x:v>後勤跡象</x:v>
      </x:c>
      <x:c r="F31" s="36" t="str">
        <x:v>觀測到後勤跡象強度約為等級2，可能在下一回合改變。</x:v>
      </x:c>
      <x:c r="G31" s="36" t="str">
        <x:v>B</x:v>
      </x:c>
      <x:c r="H31" s="36" t="n">
        <x:v>75</x:v>
      </x:c>
      <x:c r="I31" s="36" t="n">
        <x:v>2</x:v>
      </x:c>
      <x:c r="J31" s="36" t="n">
        <x:v>2</x:v>
      </x:c>
      <x:c r="K31" s="36" t="str">
        <x:v>教師/白方可見</x:v>
      </x:c>
      <x:c r="L31" s="36" t="str">
        <x:v>合成情報；真實狀態僅供課後檢討</x:v>
      </x:c>
    </x:row>
    <x:row r="32">
      <x:c r="A32" s="36" t="str">
        <x:v>INT-029</x:v>
      </x:c>
      <x:c r="B32" s="36" t="n">
        <x:v>10</x:v>
      </x:c>
      <x:c r="C32" s="36" t="str">
        <x:v>BLUE</x:v>
      </x:c>
      <x:c r="D32" s="36" t="str">
        <x:v>Z-SW</x:v>
      </x:c>
      <x:c r="E32" s="36" t="str">
        <x:v>後勤跡象</x:v>
      </x:c>
      <x:c r="F32" s="36" t="str">
        <x:v>觀測到後勤跡象強度約為等級4，可能在下一回合改變。</x:v>
      </x:c>
      <x:c r="G32" s="36" t="str">
        <x:v>A</x:v>
      </x:c>
      <x:c r="H32" s="36" t="n">
        <x:v>64</x:v>
      </x:c>
      <x:c r="I32" s="36" t="n">
        <x:v>4</x:v>
      </x:c>
      <x:c r="J32" s="36" t="n">
        <x:v>4</x:v>
      </x:c>
      <x:c r="K32" s="36" t="str">
        <x:v>學生可見</x:v>
      </x:c>
      <x:c r="L32" s="36" t="str">
        <x:v>合成情報；真實狀態僅供課後檢討</x:v>
      </x:c>
    </x:row>
    <x:row r="33">
      <x:c r="A33" s="36" t="str">
        <x:v>INT-030</x:v>
      </x:c>
      <x:c r="B33" s="36" t="n">
        <x:v>10</x:v>
      </x:c>
      <x:c r="C33" s="36" t="str">
        <x:v>RED</x:v>
      </x:c>
      <x:c r="D33" s="36" t="str">
        <x:v>Z-SE</x:v>
      </x:c>
      <x:c r="E33" s="36" t="str">
        <x:v>海上活動</x:v>
      </x:c>
      <x:c r="F33" s="36" t="str">
        <x:v>觀測到海上活動強度約為等級1，可能在下一回合改變。</x:v>
      </x:c>
      <x:c r="G33" s="36" t="str">
        <x:v>C</x:v>
      </x:c>
      <x:c r="H33" s="36" t="n">
        <x:v>84</x:v>
      </x:c>
      <x:c r="I33" s="36" t="n">
        <x:v>1</x:v>
      </x:c>
      <x:c r="J33" s="36" t="n">
        <x:v>1</x:v>
      </x:c>
      <x:c r="K33" s="36" t="str">
        <x:v>學生可見</x:v>
      </x:c>
      <x:c r="L33" s="36" t="str">
        <x:v>合成情報；真實狀態僅供課後檢討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db4d9e5a60b4cb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  <x:col min="5" max="5" width="12" hidden="0" customWidth="1"/>
    <x:col min="6" max="6" width="16" hidden="0" customWidth="1"/>
    <x:col min="7" max="7" width="4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22" hidden="0" customWidth="1"/>
    <x:col min="13" max="13" width="14" hidden="0" customWidth="1"/>
  </x:cols>
  <x:sheetData>
    <x:row r="1" ht="30" customHeight="1">
      <x:c r="A1" s="5" t="str">
        <x:v>情境事件卡</x:v>
      </x:c>
    </x:row>
    <x:row r="3">
      <x:c r="A3" s="14" t="str">
        <x:v>event_id</x:v>
      </x:c>
      <x:c r="B3" s="14" t="str">
        <x:v>trigger_turn</x:v>
      </x:c>
      <x:c r="C3" s="14" t="str">
        <x:v>event_name</x:v>
      </x:c>
      <x:c r="D3" s="14" t="str">
        <x:v>category</x:v>
      </x:c>
      <x:c r="E3" s="14" t="str">
        <x:v>zone_id</x:v>
      </x:c>
      <x:c r="F3" s="14" t="str">
        <x:v>affected_actor</x:v>
      </x:c>
      <x:c r="G3" s="14" t="str">
        <x:v>description</x:v>
      </x:c>
      <x:c r="H3" s="14" t="str">
        <x:v>readiness_delta</x:v>
      </x:c>
      <x:c r="I3" s="14" t="str">
        <x:v>mobility_delta</x:v>
      </x:c>
      <x:c r="J3" s="14" t="str">
        <x:v>sustainment_delta</x:v>
      </x:c>
      <x:c r="K3" s="14" t="str">
        <x:v>command_delta</x:v>
      </x:c>
      <x:c r="L3" s="14" t="str">
        <x:v>civilian_risk_delta</x:v>
      </x:c>
      <x:c r="M3" s="14" t="str">
        <x:v>trigger_type</x:v>
      </x:c>
    </x:row>
    <x:row r="4">
      <x:c r="A4" s="36" t="str">
        <x:v>EVT-001</x:v>
      </x:c>
      <x:c r="B4" s="36" t="n">
        <x:v>2</x:v>
      </x:c>
      <x:c r="C4" s="36" t="str">
        <x:v>商船流量驟增</x:v>
      </x:c>
      <x:c r="D4" s="36" t="str">
        <x:v>民事</x:v>
      </x:c>
      <x:c r="E4" s="36" t="str">
        <x:v>Z-CW</x:v>
      </x:c>
      <x:c r="F4" s="36" t="str">
        <x:v>WHITE</x:v>
      </x:c>
      <x:c r="G4" s="36" t="str">
        <x:v>提高識別與航行協調負荷</x:v>
      </x:c>
      <x:c r="H4" s="36" t="n">
        <x:v>0</x:v>
      </x:c>
      <x:c r="I4" s="36" t="n">
        <x:v>-6</x:v>
      </x:c>
      <x:c r="J4" s="36" t="n">
        <x:v>-4</x:v>
      </x:c>
      <x:c r="K4" s="36" t="n">
        <x:v>0</x:v>
      </x:c>
      <x:c r="L4" s="36" t="n">
        <x:v>8</x:v>
      </x:c>
      <x:c r="M4" s="36" t="str">
        <x:v>固定</x:v>
      </x:c>
    </x:row>
    <x:row r="5">
      <x:c r="A5" s="36" t="str">
        <x:v>EVT-002</x:v>
      </x:c>
      <x:c r="B5" s="36" t="n">
        <x:v>3</x:v>
      </x:c>
      <x:c r="C5" s="36" t="str">
        <x:v>社群假訊息擴散</x:v>
      </x:c>
      <x:c r="D5" s="36" t="str">
        <x:v>資訊</x:v>
      </x:c>
      <x:c r="E5" s="36" t="str">
        <x:v>Z-ISL</x:v>
      </x:c>
      <x:c r="F5" s="36" t="str">
        <x:v>BLUE</x:v>
      </x:c>
      <x:c r="G5" s="36" t="str">
        <x:v>民眾焦慮與決策壓力上升</x:v>
      </x:c>
      <x:c r="H5" s="36" t="n">
        <x:v>-4</x:v>
      </x:c>
      <x:c r="I5" s="36" t="n">
        <x:v>0</x:v>
      </x:c>
      <x:c r="J5" s="36" t="n">
        <x:v>0</x:v>
      </x:c>
      <x:c r="K5" s="36" t="n">
        <x:v>-3</x:v>
      </x:c>
      <x:c r="L5" s="36" t="n">
        <x:v>10</x:v>
      </x:c>
      <x:c r="M5" s="36" t="str">
        <x:v>條件</x:v>
      </x:c>
    </x:row>
    <x:row r="6">
      <x:c r="A6" s="36" t="str">
        <x:v>EVT-003</x:v>
      </x:c>
      <x:c r="B6" s="36" t="n">
        <x:v>4</x:v>
      </x:c>
      <x:c r="C6" s="36" t="str">
        <x:v>電磁干擾增強</x:v>
      </x:c>
      <x:c r="D6" s="36" t="str">
        <x:v>電子戰</x:v>
      </x:c>
      <x:c r="E6" s="36" t="str">
        <x:v>Z-NW</x:v>
      </x:c>
      <x:c r="F6" s="36" t="str">
        <x:v>BLUE</x:v>
      </x:c>
      <x:c r="G6" s="36" t="str">
        <x:v>感測與通信品質下降</x:v>
      </x:c>
      <x:c r="H6" s="36" t="n">
        <x:v>-8</x:v>
      </x:c>
      <x:c r="I6" s="36" t="n">
        <x:v>0</x:v>
      </x:c>
      <x:c r="J6" s="36" t="n">
        <x:v>-2</x:v>
      </x:c>
      <x:c r="K6" s="36" t="n">
        <x:v>-5</x:v>
      </x:c>
      <x:c r="L6" s="36" t="n">
        <x:v>0</x:v>
      </x:c>
      <x:c r="M6" s="36" t="str">
        <x:v>固定</x:v>
      </x:c>
    </x:row>
    <x:row r="7">
      <x:c r="A7" s="36" t="str">
        <x:v>EVT-004</x:v>
      </x:c>
      <x:c r="B7" s="36" t="n">
        <x:v>5</x:v>
      </x:c>
      <x:c r="C7" s="36" t="str">
        <x:v>海象快速惡化</x:v>
      </x:c>
      <x:c r="D7" s="36" t="str">
        <x:v>氣象</x:v>
      </x:c>
      <x:c r="E7" s="36" t="str">
        <x:v>Z-SW</x:v>
      </x:c>
      <x:c r="F7" s="36" t="str">
        <x:v>ALL</x:v>
      </x:c>
      <x:c r="G7" s="36" t="str">
        <x:v>航空與海上任務成功率下降</x:v>
      </x:c>
      <x:c r="H7" s="36" t="n">
        <x:v>-6</x:v>
      </x:c>
      <x:c r="I7" s="36" t="n">
        <x:v>-8</x:v>
      </x:c>
      <x:c r="J7" s="36" t="n">
        <x:v>-4</x:v>
      </x:c>
      <x:c r="K7" s="36" t="n">
        <x:v>0</x:v>
      </x:c>
      <x:c r="L7" s="36" t="n">
        <x:v>4</x:v>
      </x:c>
      <x:c r="M7" s="36" t="str">
        <x:v>固定</x:v>
      </x:c>
    </x:row>
    <x:row r="8">
      <x:c r="A8" s="36" t="str">
        <x:v>EVT-005</x:v>
      </x:c>
      <x:c r="B8" s="36" t="n">
        <x:v>6</x:v>
      </x:c>
      <x:c r="C8" s="36" t="str">
        <x:v>關鍵零附件延誤</x:v>
      </x:c>
      <x:c r="D8" s="36" t="str">
        <x:v>後勤</x:v>
      </x:c>
      <x:c r="E8" s="36" t="str">
        <x:v>Z-ISL</x:v>
      </x:c>
      <x:c r="F8" s="36" t="str">
        <x:v>BLUE</x:v>
      </x:c>
      <x:c r="G8" s="36" t="str">
        <x:v>修復速度降低</x:v>
      </x:c>
      <x:c r="H8" s="36" t="n">
        <x:v>-3</x:v>
      </x:c>
      <x:c r="I8" s="36" t="n">
        <x:v>0</x:v>
      </x:c>
      <x:c r="J8" s="36" t="n">
        <x:v>-10</x:v>
      </x:c>
      <x:c r="K8" s="36" t="n">
        <x:v>0</x:v>
      </x:c>
      <x:c r="L8" s="36" t="n">
        <x:v>0</x:v>
      </x:c>
      <x:c r="M8" s="36" t="str">
        <x:v>條件</x:v>
      </x:c>
    </x:row>
    <x:row r="9">
      <x:c r="A9" s="36" t="str">
        <x:v>EVT-006</x:v>
      </x:c>
      <x:c r="B9" s="36" t="n">
        <x:v>6</x:v>
      </x:c>
      <x:c r="C9" s="36" t="str">
        <x:v>盟友情報共享提升</x:v>
      </x:c>
      <x:c r="D9" s="36" t="str">
        <x:v>情報</x:v>
      </x:c>
      <x:c r="E9" s="36" t="str">
        <x:v>Z-REAR</x:v>
      </x:c>
      <x:c r="F9" s="36" t="str">
        <x:v>BLUE</x:v>
      </x:c>
      <x:c r="G9" s="36" t="str">
        <x:v>情資可信度與預警時間改善</x:v>
      </x:c>
      <x:c r="H9" s="36" t="n">
        <x:v>8</x:v>
      </x:c>
      <x:c r="I9" s="36" t="n">
        <x:v>0</x:v>
      </x:c>
      <x:c r="J9" s="36" t="n">
        <x:v>0</x:v>
      </x:c>
      <x:c r="K9" s="36" t="n">
        <x:v>4</x:v>
      </x:c>
      <x:c r="L9" s="36" t="n">
        <x:v>0</x:v>
      </x:c>
      <x:c r="M9" s="36" t="str">
        <x:v>條件</x:v>
      </x:c>
    </x:row>
    <x:row r="10">
      <x:c r="A10" s="36" t="str">
        <x:v>EVT-007</x:v>
      </x:c>
      <x:c r="B10" s="36" t="n">
        <x:v>7</x:v>
      </x:c>
      <x:c r="C10" s="36" t="str">
        <x:v>外交降溫倡議</x:v>
      </x:c>
      <x:c r="D10" s="36" t="str">
        <x:v>外交</x:v>
      </x:c>
      <x:c r="E10" s="36" t="str">
        <x:v>Z-REAR</x:v>
      </x:c>
      <x:c r="F10" s="36" t="str">
        <x:v>ALL</x:v>
      </x:c>
      <x:c r="G10" s="36" t="str">
        <x:v>升級成本增加，部分高風險行動受限</x:v>
      </x:c>
      <x:c r="H10" s="36" t="n">
        <x:v>0</x:v>
      </x:c>
      <x:c r="I10" s="36" t="n">
        <x:v>0</x:v>
      </x:c>
      <x:c r="J10" s="36" t="n">
        <x:v>0</x:v>
      </x:c>
      <x:c r="K10" s="36" t="n">
        <x:v>6</x:v>
      </x:c>
      <x:c r="L10" s="36" t="n">
        <x:v>-4</x:v>
      </x:c>
      <x:c r="M10" s="36" t="str">
        <x:v>固定</x:v>
      </x:c>
    </x:row>
    <x:row r="11">
      <x:c r="A11" s="36" t="str">
        <x:v>EVT-008</x:v>
      </x:c>
      <x:c r="B11" s="36" t="n">
        <x:v>8</x:v>
      </x:c>
      <x:c r="C11" s="36" t="str">
        <x:v>港區作業延誤</x:v>
      </x:c>
      <x:c r="D11" s="36" t="str">
        <x:v>民事</x:v>
      </x:c>
      <x:c r="E11" s="36" t="str">
        <x:v>Z-ISL</x:v>
      </x:c>
      <x:c r="F11" s="36" t="str">
        <x:v>BLUE</x:v>
      </x:c>
      <x:c r="G11" s="36" t="str">
        <x:v>補給與商業運輸效率下降</x:v>
      </x:c>
      <x:c r="H11" s="36" t="n">
        <x:v>0</x:v>
      </x:c>
      <x:c r="I11" s="36" t="n">
        <x:v>0</x:v>
      </x:c>
      <x:c r="J11" s="36" t="n">
        <x:v>-7</x:v>
      </x:c>
      <x:c r="K11" s="36" t="n">
        <x:v>0</x:v>
      </x:c>
      <x:c r="L11" s="36" t="n">
        <x:v>8</x:v>
      </x:c>
      <x:c r="M11" s="36" t="str">
        <x:v>條件</x:v>
      </x:c>
    </x:row>
    <x:row r="12">
      <x:c r="A12" s="36" t="str">
        <x:v>EVT-009</x:v>
      </x:c>
      <x:c r="B12" s="36" t="n">
        <x:v>9</x:v>
      </x:c>
      <x:c r="C12" s="36" t="str">
        <x:v>備援通訊啟用</x:v>
      </x:c>
      <x:c r="D12" s="36" t="str">
        <x:v>C2</x:v>
      </x:c>
      <x:c r="E12" s="36" t="str">
        <x:v>Z-ISL</x:v>
      </x:c>
      <x:c r="F12" s="36" t="str">
        <x:v>BLUE</x:v>
      </x:c>
      <x:c r="G12" s="36" t="str">
        <x:v>指揮韌性回升</x:v>
      </x:c>
      <x:c r="H12" s="36" t="n">
        <x:v>6</x:v>
      </x:c>
      <x:c r="I12" s="36" t="n">
        <x:v>0</x:v>
      </x:c>
      <x:c r="J12" s="36" t="n">
        <x:v>0</x:v>
      </x:c>
      <x:c r="K12" s="36" t="n">
        <x:v>8</x:v>
      </x:c>
      <x:c r="L12" s="36" t="n">
        <x:v>0</x:v>
      </x:c>
      <x:c r="M12" s="36" t="str">
        <x:v>條件</x:v>
      </x:c>
    </x:row>
    <x:row r="13">
      <x:c r="A13" s="36" t="str">
        <x:v>EVT-010</x:v>
      </x:c>
      <x:c r="B13" s="36" t="n">
        <x:v>10</x:v>
      </x:c>
      <x:c r="C13" s="36" t="str">
        <x:v>外部支援受政治限制</x:v>
      </x:c>
      <x:c r="D13" s="36" t="str">
        <x:v>外交</x:v>
      </x:c>
      <x:c r="E13" s="36" t="str">
        <x:v>Z-REAR</x:v>
      </x:c>
      <x:c r="F13" s="36" t="str">
        <x:v>AMBER</x:v>
      </x:c>
      <x:c r="G13" s="36" t="str">
        <x:v>可提供的直接支援選項減少</x:v>
      </x:c>
      <x:c r="H13" s="36" t="n">
        <x:v>-4</x:v>
      </x:c>
      <x:c r="I13" s="36" t="n">
        <x:v>0</x:v>
      </x:c>
      <x:c r="J13" s="36" t="n">
        <x:v>-2</x:v>
      </x:c>
      <x:c r="K13" s="36" t="n">
        <x:v>0</x:v>
      </x:c>
      <x:c r="L13" s="36" t="n">
        <x:v>0</x:v>
      </x:c>
      <x:c r="M13" s="36" t="str">
        <x:v>固定</x:v>
      </x:c>
    </x:row>
    <x:row r="14">
      <x:c r="A14" s="36" t="str">
        <x:v>EVT-011</x:v>
      </x:c>
      <x:c r="B14" s="36" t="n">
        <x:v>11</x:v>
      </x:c>
      <x:c r="C14" s="36" t="str">
        <x:v>人道疏散需求增加</x:v>
      </x:c>
      <x:c r="D14" s="36" t="str">
        <x:v>民事</x:v>
      </x:c>
      <x:c r="E14" s="36" t="str">
        <x:v>Z-SE</x:v>
      </x:c>
      <x:c r="F14" s="36" t="str">
        <x:v>WHITE</x:v>
      </x:c>
      <x:c r="G14" s="36" t="str">
        <x:v>需分配護航與醫療資源</x:v>
      </x:c>
      <x:c r="H14" s="36" t="n">
        <x:v>0</x:v>
      </x:c>
      <x:c r="I14" s="36" t="n">
        <x:v>0</x:v>
      </x:c>
      <x:c r="J14" s="36" t="n">
        <x:v>-5</x:v>
      </x:c>
      <x:c r="K14" s="36" t="n">
        <x:v>0</x:v>
      </x:c>
      <x:c r="L14" s="36" t="n">
        <x:v>12</x:v>
      </x:c>
      <x:c r="M14" s="36" t="str">
        <x:v>固定</x:v>
      </x:c>
    </x:row>
    <x:row r="15">
      <x:c r="A15" s="36" t="str">
        <x:v>EVT-012</x:v>
      </x:c>
      <x:c r="B15" s="36" t="n">
        <x:v>12</x:v>
      </x:c>
      <x:c r="C15" s="36" t="str">
        <x:v>停火窗口出現</x:v>
      </x:c>
      <x:c r="D15" s="36" t="str">
        <x:v>外交</x:v>
      </x:c>
      <x:c r="E15" s="36" t="str">
        <x:v>Z-REAR</x:v>
      </x:c>
      <x:c r="F15" s="36" t="str">
        <x:v>ALL</x:v>
      </x:c>
      <x:c r="G15" s="36" t="str">
        <x:v>達成有限協議可獲額外教學分數</x:v>
      </x:c>
      <x:c r="H15" s="36" t="n">
        <x:v>0</x:v>
      </x:c>
      <x:c r="I15" s="36" t="n">
        <x:v>0</x:v>
      </x:c>
      <x:c r="J15" s="36" t="n">
        <x:v>0</x:v>
      </x:c>
      <x:c r="K15" s="36" t="n">
        <x:v>10</x:v>
      </x:c>
      <x:c r="L15" s="36" t="n">
        <x:v>-6</x:v>
      </x:c>
      <x:c r="M15" s="36" t="str">
        <x:v>固定</x:v>
      </x:c>
    </x:row>
    <x:row r="16">
      <x:c r="A16" s="56" t="str">
        <x:v>EVT-013</x:v>
      </x:c>
      <x:c r="B16" s="56" t="n">
        <x:v>3</x:v>
      </x:c>
      <x:c r="C16" s="56" t="str">
        <x:v>無人機中繼網路啟用</x:v>
      </x:c>
      <x:c r="D16" s="56" t="str">
        <x:v>C2</x:v>
      </x:c>
      <x:c r="E16" s="56" t="str">
        <x:v>Z-ISL</x:v>
      </x:c>
      <x:c r="F16" s="56" t="str">
        <x:v>BLUE</x:v>
      </x:c>
      <x:c r="G16" s="56" t="str">
        <x:v>分散式無人機節點提供偵察與通訊中繼，但增加持續運作負荷。</x:v>
      </x:c>
      <x:c r="H16" s="56" t="n">
        <x:v>2</x:v>
      </x:c>
      <x:c r="I16" s="56" t="n">
        <x:v>0</x:v>
      </x:c>
      <x:c r="J16" s="56" t="n">
        <x:v>-1</x:v>
      </x:c>
      <x:c r="K16" s="56" t="n">
        <x:v>3</x:v>
      </x:c>
      <x:c r="L16" s="56" t="n">
        <x:v>0</x:v>
      </x:c>
      <x:c r="M16" s="56" t="str">
        <x:v>條件</x:v>
      </x:c>
    </x:row>
    <x:row r="17">
      <x:c r="A17" s="60" t="str">
        <x:v>EVT-014</x:v>
      </x:c>
      <x:c r="B17" s="60" t="n">
        <x:v>5</x:v>
      </x:c>
      <x:c r="C17" s="60" t="str">
        <x:v>星鏈備援鏈路切換</x:v>
      </x:c>
      <x:c r="D17" s="60" t="str">
        <x:v>C2</x:v>
      </x:c>
      <x:c r="E17" s="60" t="str">
        <x:v>Z-REAR</x:v>
      </x:c>
      <x:c r="F17" s="60" t="str">
        <x:v>BLUE</x:v>
      </x:c>
      <x:c r="G17" s="60" t="str">
        <x:v>主要鏈路降級後切換至分散式衛星備援通訊。</x:v>
      </x:c>
      <x:c r="H17" s="60" t="n">
        <x:v>2</x:v>
      </x:c>
      <x:c r="I17" s="60" t="n">
        <x:v>0</x:v>
      </x:c>
      <x:c r="J17" s="60" t="n">
        <x:v>0</x:v>
      </x:c>
      <x:c r="K17" s="60" t="n">
        <x:v>6</x:v>
      </x:c>
      <x:c r="L17" s="60" t="n">
        <x:v>0</x:v>
      </x:c>
      <x:c r="M17" s="60" t="str">
        <x:v>條件</x:v>
      </x:c>
    </x:row>
    <x:row r="18">
      <x:c r="A18" s="56" t="str">
        <x:v>EVT-015</x:v>
      </x:c>
      <x:c r="B18" s="56" t="n">
        <x:v>7</x:v>
      </x:c>
      <x:c r="C18" s="56" t="str">
        <x:v>高空通訊平臺接替</x:v>
      </x:c>
      <x:c r="D18" s="56" t="str">
        <x:v>C2</x:v>
      </x:c>
      <x:c r="E18" s="56" t="str">
        <x:v>Z-REAR</x:v>
      </x:c>
      <x:c r="F18" s="56" t="str">
        <x:v>BLUE</x:v>
      </x:c>
      <x:c r="G18" s="56" t="str">
        <x:v>高空平臺接替部分區域通訊中繼，改善跨區協調。</x:v>
      </x:c>
      <x:c r="H18" s="56" t="n">
        <x:v>3</x:v>
      </x:c>
      <x:c r="I18" s="56" t="n">
        <x:v>0</x:v>
      </x:c>
      <x:c r="J18" s="56" t="n">
        <x:v>-1</x:v>
      </x:c>
      <x:c r="K18" s="56" t="n">
        <x:v>5</x:v>
      </x:c>
      <x:c r="L18" s="56" t="n">
        <x:v>0</x:v>
      </x:c>
      <x:c r="M18" s="56" t="str">
        <x:v>條件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f642d3d7df78492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28" hidden="0" customWidth="1"/>
    <x:col min="6" max="6" width="18" hidden="0" customWidth="1"/>
    <x:col min="7" max="7" width="18" hidden="0" customWidth="1"/>
    <x:col min="8" max="8" width="52" hidden="0" customWidth="1"/>
    <x:col min="9" max="9" width="14" hidden="0" customWidth="1"/>
    <x:col min="10" max="10" width="28" hidden="0" customWidth="1"/>
  </x:cols>
  <x:sheetData>
    <x:row r="1" ht="30" customHeight="1">
      <x:c r="A1" s="5" t="str">
        <x:v>示範回合命令</x:v>
      </x:c>
    </x:row>
    <x:row r="3">
      <x:c r="A3" s="14" t="str">
        <x:v>order_id</x:v>
      </x:c>
      <x:c r="B3" s="14" t="str">
        <x:v>turn</x:v>
      </x:c>
      <x:c r="C3" s="14" t="str">
        <x:v>actor_id</x:v>
      </x:c>
      <x:c r="D3" s="14" t="str">
        <x:v>zone_id</x:v>
      </x:c>
      <x:c r="E3" s="14" t="str">
        <x:v>action</x:v>
      </x:c>
      <x:c r="F3" s="14" t="str">
        <x:v>resource_points</x:v>
      </x:c>
      <x:c r="G3" s="14" t="str">
        <x:v>risk_level_1_5</x:v>
      </x:c>
      <x:c r="H3" s="14" t="str">
        <x:v>rationale</x:v>
      </x:c>
      <x:c r="I3" s="14" t="str">
        <x:v>status</x:v>
      </x:c>
      <x:c r="J3" s="14" t="str">
        <x:v>note</x:v>
      </x:c>
    </x:row>
    <x:row r="4">
      <x:c r="A4" s="36" t="str">
        <x:v>ORD-001</x:v>
      </x:c>
      <x:c r="B4" s="36" t="n">
        <x:v>1</x:v>
      </x:c>
      <x:c r="C4" s="36" t="str">
        <x:v>BLUE</x:v>
      </x:c>
      <x:c r="D4" s="36" t="str">
        <x:v>Z-CW</x:v>
      </x:c>
      <x:c r="E4" s="36" t="str">
        <x:v>商船護航</x:v>
      </x:c>
      <x:c r="F4" s="36" t="n">
        <x:v>14</x:v>
      </x:c>
      <x:c r="G4" s="36" t="n">
        <x:v>3</x:v>
      </x:c>
      <x:c r="H4" s="36" t="str">
        <x:v>在第1回合以商船護航改善任務態勢，並保留後續調整空間。</x:v>
      </x:c>
      <x:c r="I4" s="36" t="str">
        <x:v>已提交</x:v>
      </x:c>
      <x:c r="J4" s="36" t="str">
        <x:v>合成示範命令</x:v>
      </x:c>
    </x:row>
    <x:row r="5">
      <x:c r="A5" s="36" t="str">
        <x:v>ORD-002</x:v>
      </x:c>
      <x:c r="B5" s="36" t="n">
        <x:v>1</x:v>
      </x:c>
      <x:c r="C5" s="36" t="str">
        <x:v>RED</x:v>
      </x:c>
      <x:c r="D5" s="36" t="str">
        <x:v>Z-NW</x:v>
      </x:c>
      <x:c r="E5" s="36" t="str">
        <x:v>遠程火力展示</x:v>
      </x:c>
      <x:c r="F5" s="36" t="n">
        <x:v>26</x:v>
      </x:c>
      <x:c r="G5" s="36" t="n">
        <x:v>4</x:v>
      </x:c>
      <x:c r="H5" s="36" t="str">
        <x:v>在第1回合以遠程火力展示改善任務態勢，並保留後續調整空間。</x:v>
      </x:c>
      <x:c r="I5" s="36" t="str">
        <x:v>已提交</x:v>
      </x:c>
      <x:c r="J5" s="36" t="str">
        <x:v>合成示範命令</x:v>
      </x:c>
    </x:row>
    <x:row r="6">
      <x:c r="A6" s="36" t="str">
        <x:v>ORD-003</x:v>
      </x:c>
      <x:c r="B6" s="36" t="n">
        <x:v>1</x:v>
      </x:c>
      <x:c r="C6" s="36" t="str">
        <x:v>AMBER</x:v>
      </x:c>
      <x:c r="D6" s="36" t="str">
        <x:v>Z-SW</x:v>
      </x:c>
      <x:c r="E6" s="36" t="str">
        <x:v>外交協調</x:v>
      </x:c>
      <x:c r="F6" s="36" t="n">
        <x:v>28</x:v>
      </x:c>
      <x:c r="G6" s="36" t="n">
        <x:v>4</x:v>
      </x:c>
      <x:c r="H6" s="36" t="str">
        <x:v>在第1回合以外交協調改善任務態勢，並保留後續調整空間。</x:v>
      </x:c>
      <x:c r="I6" s="36" t="str">
        <x:v>已提交</x:v>
      </x:c>
      <x:c r="J6" s="36" t="str">
        <x:v>合成示範命令</x:v>
      </x:c>
    </x:row>
    <x:row r="7">
      <x:c r="A7" s="36" t="str">
        <x:v>ORD-004</x:v>
      </x:c>
      <x:c r="B7" s="36" t="n">
        <x:v>2</x:v>
      </x:c>
      <x:c r="C7" s="36" t="str">
        <x:v>BLUE</x:v>
      </x:c>
      <x:c r="D7" s="36" t="str">
        <x:v>Z-NE</x:v>
      </x:c>
      <x:c r="E7" s="36" t="str">
        <x:v>分散部署</x:v>
      </x:c>
      <x:c r="F7" s="36" t="n">
        <x:v>10</x:v>
      </x:c>
      <x:c r="G7" s="36" t="n">
        <x:v>5</x:v>
      </x:c>
      <x:c r="H7" s="36" t="str">
        <x:v>在第2回合以分散部署改善任務態勢，並保留後續調整空間。</x:v>
      </x:c>
      <x:c r="I7" s="36" t="str">
        <x:v>已提交</x:v>
      </x:c>
      <x:c r="J7" s="36" t="str">
        <x:v>合成示範命令</x:v>
      </x:c>
    </x:row>
    <x:row r="8">
      <x:c r="A8" s="36" t="str">
        <x:v>ORD-005</x:v>
      </x:c>
      <x:c r="B8" s="36" t="n">
        <x:v>2</x:v>
      </x:c>
      <x:c r="C8" s="36" t="str">
        <x:v>RED</x:v>
      </x:c>
      <x:c r="D8" s="36" t="str">
        <x:v>Z-NE</x:v>
      </x:c>
      <x:c r="E8" s="36" t="str">
        <x:v>遠程火力展示</x:v>
      </x:c>
      <x:c r="F8" s="36" t="n">
        <x:v>10</x:v>
      </x:c>
      <x:c r="G8" s="36" t="n">
        <x:v>5</x:v>
      </x:c>
      <x:c r="H8" s="36" t="str">
        <x:v>在第2回合以遠程火力展示改善任務態勢，並保留後續調整空間。</x:v>
      </x:c>
      <x:c r="I8" s="36" t="str">
        <x:v>已提交</x:v>
      </x:c>
      <x:c r="J8" s="36" t="str">
        <x:v>合成示範命令</x:v>
      </x:c>
    </x:row>
    <x:row r="9">
      <x:c r="A9" s="36" t="str">
        <x:v>ORD-006</x:v>
      </x:c>
      <x:c r="B9" s="36" t="n">
        <x:v>2</x:v>
      </x:c>
      <x:c r="C9" s="36" t="str">
        <x:v>AMBER</x:v>
      </x:c>
      <x:c r="D9" s="36" t="str">
        <x:v>Z-SW</x:v>
      </x:c>
      <x:c r="E9" s="36" t="str">
        <x:v>人道支援準備</x:v>
      </x:c>
      <x:c r="F9" s="36" t="n">
        <x:v>16</x:v>
      </x:c>
      <x:c r="G9" s="36" t="n">
        <x:v>4</x:v>
      </x:c>
      <x:c r="H9" s="36" t="str">
        <x:v>在第2回合以人道支援準備改善任務態勢，並保留後續調整空間。</x:v>
      </x:c>
      <x:c r="I9" s="36" t="str">
        <x:v>已提交</x:v>
      </x:c>
      <x:c r="J9" s="36" t="str">
        <x:v>合成示範命令</x:v>
      </x:c>
    </x:row>
    <x:row r="10">
      <x:c r="A10" s="36" t="str">
        <x:v>ORD-007</x:v>
      </x:c>
      <x:c r="B10" s="36" t="n">
        <x:v>3</x:v>
      </x:c>
      <x:c r="C10" s="36" t="str">
        <x:v>BLUE</x:v>
      </x:c>
      <x:c r="D10" s="36" t="str">
        <x:v>Z-NW</x:v>
      </x:c>
      <x:c r="E10" s="36" t="str">
        <x:v>情報融合</x:v>
      </x:c>
      <x:c r="F10" s="36" t="n">
        <x:v>23</x:v>
      </x:c>
      <x:c r="G10" s="36" t="n">
        <x:v>2</x:v>
      </x:c>
      <x:c r="H10" s="36" t="str">
        <x:v>在第3回合以情報融合改善任務態勢，並保留後續調整空間。</x:v>
      </x:c>
      <x:c r="I10" s="36" t="str">
        <x:v>已提交</x:v>
      </x:c>
      <x:c r="J10" s="36" t="str">
        <x:v>合成示範命令</x:v>
      </x:c>
    </x:row>
    <x:row r="11">
      <x:c r="A11" s="36" t="str">
        <x:v>ORD-008</x:v>
      </x:c>
      <x:c r="B11" s="36" t="n">
        <x:v>3</x:v>
      </x:c>
      <x:c r="C11" s="36" t="str">
        <x:v>RED</x:v>
      </x:c>
      <x:c r="D11" s="36" t="str">
        <x:v>Z-SW</x:v>
      </x:c>
      <x:c r="E11" s="36" t="str">
        <x:v>外交訊息操作</x:v>
      </x:c>
      <x:c r="F11" s="36" t="n">
        <x:v>14</x:v>
      </x:c>
      <x:c r="G11" s="36" t="n">
        <x:v>3</x:v>
      </x:c>
      <x:c r="H11" s="36" t="str">
        <x:v>在第3回合以外交訊息操作改善任務態勢，並保留後續調整空間。</x:v>
      </x:c>
      <x:c r="I11" s="36" t="str">
        <x:v>已提交</x:v>
      </x:c>
      <x:c r="J11" s="36" t="str">
        <x:v>合成示範命令</x:v>
      </x:c>
    </x:row>
    <x:row r="12">
      <x:c r="A12" s="36" t="str">
        <x:v>ORD-009</x:v>
      </x:c>
      <x:c r="B12" s="36" t="n">
        <x:v>3</x:v>
      </x:c>
      <x:c r="C12" s="36" t="str">
        <x:v>AMBER</x:v>
      </x:c>
      <x:c r="D12" s="36" t="str">
        <x:v>Z-SW</x:v>
      </x:c>
      <x:c r="E12" s="36" t="str">
        <x:v>人道支援準備</x:v>
      </x:c>
      <x:c r="F12" s="36" t="n">
        <x:v>26</x:v>
      </x:c>
      <x:c r="G12" s="36" t="n">
        <x:v>5</x:v>
      </x:c>
      <x:c r="H12" s="36" t="str">
        <x:v>在第3回合以人道支援準備改善任務態勢，並保留後續調整空間。</x:v>
      </x:c>
      <x:c r="I12" s="36" t="str">
        <x:v>已提交</x:v>
      </x:c>
      <x:c r="J12" s="36" t="str">
        <x:v>合成示範命令</x:v>
      </x:c>
    </x:row>
    <x:row r="13">
      <x:c r="A13" s="36" t="str">
        <x:v>ORD-010</x:v>
      </x:c>
      <x:c r="B13" s="36" t="n">
        <x:v>4</x:v>
      </x:c>
      <x:c r="C13" s="36" t="str">
        <x:v>BLUE</x:v>
      </x:c>
      <x:c r="D13" s="36" t="str">
        <x:v>Z-CW</x:v>
      </x:c>
      <x:c r="E13" s="36" t="str">
        <x:v>備援通訊</x:v>
      </x:c>
      <x:c r="F13" s="36" t="n">
        <x:v>22</x:v>
      </x:c>
      <x:c r="G13" s="36" t="n">
        <x:v>3</x:v>
      </x:c>
      <x:c r="H13" s="36" t="str">
        <x:v>在第4回合以備援通訊改善任務態勢，並保留後續調整空間。</x:v>
      </x:c>
      <x:c r="I13" s="36" t="str">
        <x:v>已提交</x:v>
      </x:c>
      <x:c r="J13" s="36" t="str">
        <x:v>合成示範命令</x:v>
      </x:c>
    </x:row>
    <x:row r="14">
      <x:c r="A14" s="36" t="str">
        <x:v>ORD-011</x:v>
      </x:c>
      <x:c r="B14" s="36" t="n">
        <x:v>4</x:v>
      </x:c>
      <x:c r="C14" s="36" t="str">
        <x:v>RED</x:v>
      </x:c>
      <x:c r="D14" s="36" t="str">
        <x:v>Z-SE</x:v>
      </x:c>
      <x:c r="E14" s="36" t="str">
        <x:v>調整封控區</x:v>
      </x:c>
      <x:c r="F14" s="36" t="n">
        <x:v>10</x:v>
      </x:c>
      <x:c r="G14" s="36" t="n">
        <x:v>4</x:v>
      </x:c>
      <x:c r="H14" s="36" t="str">
        <x:v>在第4回合以調整封控區改善任務態勢，並保留後續調整空間。</x:v>
      </x:c>
      <x:c r="I14" s="36" t="str">
        <x:v>已提交</x:v>
      </x:c>
      <x:c r="J14" s="36" t="str">
        <x:v>合成示範命令</x:v>
      </x:c>
    </x:row>
    <x:row r="15">
      <x:c r="A15" s="36" t="str">
        <x:v>ORD-012</x:v>
      </x:c>
      <x:c r="B15" s="36" t="n">
        <x:v>4</x:v>
      </x:c>
      <x:c r="C15" s="36" t="str">
        <x:v>AMBER</x:v>
      </x:c>
      <x:c r="D15" s="36" t="str">
        <x:v>Z-E</x:v>
      </x:c>
      <x:c r="E15" s="36" t="str">
        <x:v>網路防護支援</x:v>
      </x:c>
      <x:c r="F15" s="36" t="n">
        <x:v>25</x:v>
      </x:c>
      <x:c r="G15" s="36" t="n">
        <x:v>5</x:v>
      </x:c>
      <x:c r="H15" s="36" t="str">
        <x:v>在第4回合以網路防護支援改善任務態勢，並保留後續調整空間。</x:v>
      </x:c>
      <x:c r="I15" s="36" t="str">
        <x:v>已提交</x:v>
      </x:c>
      <x:c r="J15" s="36" t="str">
        <x:v>合成示範命令</x:v>
      </x:c>
    </x:row>
    <x:row r="16">
      <x:c r="A16" s="36" t="str">
        <x:v>ORD-013</x:v>
      </x:c>
      <x:c r="B16" s="36" t="n">
        <x:v>5</x:v>
      </x:c>
      <x:c r="C16" s="36" t="str">
        <x:v>BLUE</x:v>
      </x:c>
      <x:c r="D16" s="36" t="str">
        <x:v>Z-E</x:v>
      </x:c>
      <x:c r="E16" s="36" t="str">
        <x:v>強化防空警戒</x:v>
      </x:c>
      <x:c r="F16" s="36" t="n">
        <x:v>29</x:v>
      </x:c>
      <x:c r="G16" s="36" t="n">
        <x:v>3</x:v>
      </x:c>
      <x:c r="H16" s="36" t="str">
        <x:v>在第5回合以強化防空警戒改善任務態勢，並保留後續調整空間。</x:v>
      </x:c>
      <x:c r="I16" s="36" t="str">
        <x:v>已提交</x:v>
      </x:c>
      <x:c r="J16" s="36" t="str">
        <x:v>合成示範命令</x:v>
      </x:c>
    </x:row>
    <x:row r="17">
      <x:c r="A17" s="36" t="str">
        <x:v>ORD-014</x:v>
      </x:c>
      <x:c r="B17" s="36" t="n">
        <x:v>5</x:v>
      </x:c>
      <x:c r="C17" s="36" t="str">
        <x:v>RED</x:v>
      </x:c>
      <x:c r="D17" s="36" t="str">
        <x:v>Z-NW</x:v>
      </x:c>
      <x:c r="E17" s="36" t="str">
        <x:v>遠程火力展示</x:v>
      </x:c>
      <x:c r="F17" s="36" t="n">
        <x:v>24</x:v>
      </x:c>
      <x:c r="G17" s="36" t="n">
        <x:v>3</x:v>
      </x:c>
      <x:c r="H17" s="36" t="str">
        <x:v>在第5回合以遠程火力展示改善任務態勢，並保留後續調整空間。</x:v>
      </x:c>
      <x:c r="I17" s="36" t="str">
        <x:v>已提交</x:v>
      </x:c>
      <x:c r="J17" s="36" t="str">
        <x:v>合成示範命令</x:v>
      </x:c>
    </x:row>
    <x:row r="18">
      <x:c r="A18" s="36" t="str">
        <x:v>ORD-015</x:v>
      </x:c>
      <x:c r="B18" s="36" t="n">
        <x:v>5</x:v>
      </x:c>
      <x:c r="C18" s="36" t="str">
        <x:v>AMBER</x:v>
      </x:c>
      <x:c r="D18" s="36" t="str">
        <x:v>Z-REAR</x:v>
      </x:c>
      <x:c r="E18" s="36" t="str">
        <x:v>遠距海上存在</x:v>
      </x:c>
      <x:c r="F18" s="36" t="n">
        <x:v>18</x:v>
      </x:c>
      <x:c r="G18" s="36" t="n">
        <x:v>3</x:v>
      </x:c>
      <x:c r="H18" s="36" t="str">
        <x:v>在第5回合以遠距海上存在改善任務態勢，並保留後續調整空間。</x:v>
      </x:c>
      <x:c r="I18" s="36" t="str">
        <x:v>已提交</x:v>
      </x:c>
      <x:c r="J18" s="36" t="str">
        <x:v>合成示範命令</x:v>
      </x:c>
    </x:row>
    <x:row r="19">
      <x:c r="A19" s="36" t="str">
        <x:v>ORD-016</x:v>
      </x:c>
      <x:c r="B19" s="36" t="n">
        <x:v>6</x:v>
      </x:c>
      <x:c r="C19" s="36" t="str">
        <x:v>BLUE</x:v>
      </x:c>
      <x:c r="D19" s="36" t="str">
        <x:v>Z-CW</x:v>
      </x:c>
      <x:c r="E19" s="36" t="str">
        <x:v>分散部署</x:v>
      </x:c>
      <x:c r="F19" s="36" t="n">
        <x:v>13</x:v>
      </x:c>
      <x:c r="G19" s="36" t="n">
        <x:v>5</x:v>
      </x:c>
      <x:c r="H19" s="36" t="str">
        <x:v>在第6回合以分散部署改善任務態勢，並保留後續調整空間。</x:v>
      </x:c>
      <x:c r="I19" s="36" t="str">
        <x:v>已提交</x:v>
      </x:c>
      <x:c r="J19" s="36" t="str">
        <x:v>合成示範命令</x:v>
      </x:c>
    </x:row>
    <x:row r="20">
      <x:c r="A20" s="36" t="str">
        <x:v>ORD-017</x:v>
      </x:c>
      <x:c r="B20" s="36" t="n">
        <x:v>6</x:v>
      </x:c>
      <x:c r="C20" s="36" t="str">
        <x:v>RED</x:v>
      </x:c>
      <x:c r="D20" s="36" t="str">
        <x:v>Z-ISL</x:v>
      </x:c>
      <x:c r="E20" s="36" t="str">
        <x:v>調整封控區</x:v>
      </x:c>
      <x:c r="F20" s="36" t="n">
        <x:v>30</x:v>
      </x:c>
      <x:c r="G20" s="36" t="n">
        <x:v>5</x:v>
      </x:c>
      <x:c r="H20" s="36" t="str">
        <x:v>在第6回合以調整封控區改善任務態勢，並保留後續調整空間。</x:v>
      </x:c>
      <x:c r="I20" s="36" t="str">
        <x:v>已提交</x:v>
      </x:c>
      <x:c r="J20" s="36" t="str">
        <x:v>合成示範命令</x:v>
      </x:c>
    </x:row>
    <x:row r="21">
      <x:c r="A21" s="36" t="str">
        <x:v>ORD-018</x:v>
      </x:c>
      <x:c r="B21" s="36" t="n">
        <x:v>6</x:v>
      </x:c>
      <x:c r="C21" s="36" t="str">
        <x:v>AMBER</x:v>
      </x:c>
      <x:c r="D21" s="36" t="str">
        <x:v>Z-NW</x:v>
      </x:c>
      <x:c r="E21" s="36" t="str">
        <x:v>遠距海上存在</x:v>
      </x:c>
      <x:c r="F21" s="36" t="n">
        <x:v>26</x:v>
      </x:c>
      <x:c r="G21" s="36" t="n">
        <x:v>4</x:v>
      </x:c>
      <x:c r="H21" s="36" t="str">
        <x:v>在第6回合以遠距海上存在改善任務態勢，並保留後續調整空間。</x:v>
      </x:c>
      <x:c r="I21" s="36" t="str">
        <x:v>已提交</x:v>
      </x:c>
      <x:c r="J21" s="36" t="str">
        <x:v>合成示範命令</x:v>
      </x:c>
    </x:row>
    <x:row r="22">
      <x:c r="A22" s="36" t="str">
        <x:v>ORD-019</x:v>
      </x:c>
      <x:c r="B22" s="36" t="n">
        <x:v>7</x:v>
      </x:c>
      <x:c r="C22" s="36" t="str">
        <x:v>BLUE</x:v>
      </x:c>
      <x:c r="D22" s="36" t="str">
        <x:v>Z-ISL</x:v>
      </x:c>
      <x:c r="E22" s="36" t="str">
        <x:v>情報融合</x:v>
      </x:c>
      <x:c r="F22" s="36" t="n">
        <x:v>21</x:v>
      </x:c>
      <x:c r="G22" s="36" t="n">
        <x:v>4</x:v>
      </x:c>
      <x:c r="H22" s="36" t="str">
        <x:v>在第7回合以情報融合改善任務態勢，並保留後續調整空間。</x:v>
      </x:c>
      <x:c r="I22" s="36" t="str">
        <x:v>已提交</x:v>
      </x:c>
      <x:c r="J22" s="36" t="str">
        <x:v>合成示範命令</x:v>
      </x:c>
    </x:row>
    <x:row r="23">
      <x:c r="A23" s="36" t="str">
        <x:v>ORD-020</x:v>
      </x:c>
      <x:c r="B23" s="36" t="n">
        <x:v>7</x:v>
      </x:c>
      <x:c r="C23" s="36" t="str">
        <x:v>RED</x:v>
      </x:c>
      <x:c r="D23" s="36" t="str">
        <x:v>Z-NE</x:v>
      </x:c>
      <x:c r="E23" s="36" t="str">
        <x:v>外交訊息操作</x:v>
      </x:c>
      <x:c r="F23" s="36" t="n">
        <x:v>12</x:v>
      </x:c>
      <x:c r="G23" s="36" t="n">
        <x:v>5</x:v>
      </x:c>
      <x:c r="H23" s="36" t="str">
        <x:v>在第7回合以外交訊息操作改善任務態勢，並保留後續調整空間。</x:v>
      </x:c>
      <x:c r="I23" s="36" t="str">
        <x:v>已提交</x:v>
      </x:c>
      <x:c r="J23" s="36" t="str">
        <x:v>合成示範命令</x:v>
      </x:c>
    </x:row>
    <x:row r="24">
      <x:c r="A24" s="36" t="str">
        <x:v>ORD-021</x:v>
      </x:c>
      <x:c r="B24" s="36" t="n">
        <x:v>7</x:v>
      </x:c>
      <x:c r="C24" s="36" t="str">
        <x:v>AMBER</x:v>
      </x:c>
      <x:c r="D24" s="36" t="str">
        <x:v>Z-CW</x:v>
      </x:c>
      <x:c r="E24" s="36" t="str">
        <x:v>外交協調</x:v>
      </x:c>
      <x:c r="F24" s="36" t="n">
        <x:v>22</x:v>
      </x:c>
      <x:c r="G24" s="36" t="n">
        <x:v>4</x:v>
      </x:c>
      <x:c r="H24" s="36" t="str">
        <x:v>在第7回合以外交協調改善任務態勢，並保留後續調整空間。</x:v>
      </x:c>
      <x:c r="I24" s="36" t="str">
        <x:v>已提交</x:v>
      </x:c>
      <x:c r="J24" s="36" t="str">
        <x:v>合成示範命令</x:v>
      </x:c>
    </x:row>
    <x:row r="25">
      <x:c r="A25" s="36" t="str">
        <x:v>ORD-022</x:v>
      </x:c>
      <x:c r="B25" s="36" t="n">
        <x:v>8</x:v>
      </x:c>
      <x:c r="C25" s="36" t="str">
        <x:v>BLUE</x:v>
      </x:c>
      <x:c r="D25" s="36" t="str">
        <x:v>Z-SE</x:v>
      </x:c>
      <x:c r="E25" s="36" t="str">
        <x:v>後勤修復</x:v>
      </x:c>
      <x:c r="F25" s="36" t="n">
        <x:v>15</x:v>
      </x:c>
      <x:c r="G25" s="36" t="n">
        <x:v>4</x:v>
      </x:c>
      <x:c r="H25" s="36" t="str">
        <x:v>在第8回合以後勤修復改善任務態勢，並保留後續調整空間。</x:v>
      </x:c>
      <x:c r="I25" s="36" t="str">
        <x:v>已提交</x:v>
      </x:c>
      <x:c r="J25" s="36" t="str">
        <x:v>合成示範命令</x:v>
      </x:c>
    </x:row>
    <x:row r="26">
      <x:c r="A26" s="36" t="str">
        <x:v>ORD-023</x:v>
      </x:c>
      <x:c r="B26" s="36" t="n">
        <x:v>8</x:v>
      </x:c>
      <x:c r="C26" s="36" t="str">
        <x:v>RED</x:v>
      </x:c>
      <x:c r="D26" s="36" t="str">
        <x:v>Z-SE</x:v>
      </x:c>
      <x:c r="E26" s="36" t="str">
        <x:v>電磁壓制</x:v>
      </x:c>
      <x:c r="F26" s="36" t="n">
        <x:v>24</x:v>
      </x:c>
      <x:c r="G26" s="36" t="n">
        <x:v>3</x:v>
      </x:c>
      <x:c r="H26" s="36" t="str">
        <x:v>在第8回合以電磁壓制改善任務態勢，並保留後續調整空間。</x:v>
      </x:c>
      <x:c r="I26" s="36" t="str">
        <x:v>已提交</x:v>
      </x:c>
      <x:c r="J26" s="36" t="str">
        <x:v>合成示範命令</x:v>
      </x:c>
    </x:row>
    <x:row r="27">
      <x:c r="A27" s="36" t="str">
        <x:v>ORD-024</x:v>
      </x:c>
      <x:c r="B27" s="36" t="n">
        <x:v>8</x:v>
      </x:c>
      <x:c r="C27" s="36" t="str">
        <x:v>AMBER</x:v>
      </x:c>
      <x:c r="D27" s="36" t="str">
        <x:v>Z-NW</x:v>
      </x:c>
      <x:c r="E27" s="36" t="str">
        <x:v>人道支援準備</x:v>
      </x:c>
      <x:c r="F27" s="36" t="n">
        <x:v>30</x:v>
      </x:c>
      <x:c r="G27" s="36" t="n">
        <x:v>3</x:v>
      </x:c>
      <x:c r="H27" s="36" t="str">
        <x:v>在第8回合以人道支援準備改善任務態勢，並保留後續調整空間。</x:v>
      </x:c>
      <x:c r="I27" s="36" t="str">
        <x:v>已提交</x:v>
      </x:c>
      <x:c r="J27" s="36" t="str">
        <x:v>合成示範命令</x:v>
      </x:c>
    </x:row>
    <x:row r="28">
      <x:c r="A28" s="36" t="str">
        <x:v>ORD-025</x:v>
      </x:c>
      <x:c r="B28" s="36" t="n">
        <x:v>9</x:v>
      </x:c>
      <x:c r="C28" s="36" t="str">
        <x:v>BLUE</x:v>
      </x:c>
      <x:c r="D28" s="36" t="str">
        <x:v>Z-NW</x:v>
      </x:c>
      <x:c r="E28" s="36" t="str">
        <x:v>情報融合</x:v>
      </x:c>
      <x:c r="F28" s="36" t="n">
        <x:v>22</x:v>
      </x:c>
      <x:c r="G28" s="36" t="n">
        <x:v>4</x:v>
      </x:c>
      <x:c r="H28" s="36" t="str">
        <x:v>在第9回合以情報融合改善任務態勢，並保留後續調整空間。</x:v>
      </x:c>
      <x:c r="I28" s="36" t="str">
        <x:v>已提交</x:v>
      </x:c>
      <x:c r="J28" s="36" t="str">
        <x:v>合成示範命令</x:v>
      </x:c>
    </x:row>
    <x:row r="29">
      <x:c r="A29" s="36" t="str">
        <x:v>ORD-026</x:v>
      </x:c>
      <x:c r="B29" s="36" t="n">
        <x:v>9</x:v>
      </x:c>
      <x:c r="C29" s="36" t="str">
        <x:v>RED</x:v>
      </x:c>
      <x:c r="D29" s="36" t="str">
        <x:v>Z-ISL</x:v>
      </x:c>
      <x:c r="E29" s="36" t="str">
        <x:v>增加空中施壓</x:v>
      </x:c>
      <x:c r="F29" s="36" t="n">
        <x:v>28</x:v>
      </x:c>
      <x:c r="G29" s="36" t="n">
        <x:v>4</x:v>
      </x:c>
      <x:c r="H29" s="36" t="str">
        <x:v>在第9回合以增加空中施壓改善任務態勢，並保留後續調整空間。</x:v>
      </x:c>
      <x:c r="I29" s="36" t="str">
        <x:v>已提交</x:v>
      </x:c>
      <x:c r="J29" s="36" t="str">
        <x:v>合成示範命令</x:v>
      </x:c>
    </x:row>
    <x:row r="30">
      <x:c r="A30" s="36" t="str">
        <x:v>ORD-027</x:v>
      </x:c>
      <x:c r="B30" s="36" t="n">
        <x:v>9</x:v>
      </x:c>
      <x:c r="C30" s="36" t="str">
        <x:v>AMBER</x:v>
      </x:c>
      <x:c r="D30" s="36" t="str">
        <x:v>Z-E</x:v>
      </x:c>
      <x:c r="E30" s="36" t="str">
        <x:v>網路防護支援</x:v>
      </x:c>
      <x:c r="F30" s="36" t="n">
        <x:v>28</x:v>
      </x:c>
      <x:c r="G30" s="36" t="n">
        <x:v>4</x:v>
      </x:c>
      <x:c r="H30" s="36" t="str">
        <x:v>在第9回合以網路防護支援改善任務態勢，並保留後續調整空間。</x:v>
      </x:c>
      <x:c r="I30" s="36" t="str">
        <x:v>已提交</x:v>
      </x:c>
      <x:c r="J30" s="36" t="str">
        <x:v>合成示範命令</x:v>
      </x:c>
    </x:row>
    <x:row r="31">
      <x:c r="A31" s="36" t="str">
        <x:v>ORD-028</x:v>
      </x:c>
      <x:c r="B31" s="36" t="n">
        <x:v>10</x:v>
      </x:c>
      <x:c r="C31" s="36" t="str">
        <x:v>BLUE</x:v>
      </x:c>
      <x:c r="D31" s="36" t="str">
        <x:v>Z-NW</x:v>
      </x:c>
      <x:c r="E31" s="36" t="str">
        <x:v>商船護航</x:v>
      </x:c>
      <x:c r="F31" s="36" t="n">
        <x:v>15</x:v>
      </x:c>
      <x:c r="G31" s="36" t="n">
        <x:v>4</x:v>
      </x:c>
      <x:c r="H31" s="36" t="str">
        <x:v>在第10回合以商船護航改善任務態勢，並保留後續調整空間。</x:v>
      </x:c>
      <x:c r="I31" s="36" t="str">
        <x:v>已提交</x:v>
      </x:c>
      <x:c r="J31" s="36" t="str">
        <x:v>合成示範命令</x:v>
      </x:c>
    </x:row>
    <x:row r="32">
      <x:c r="A32" s="36" t="str">
        <x:v>ORD-029</x:v>
      </x:c>
      <x:c r="B32" s="36" t="n">
        <x:v>10</x:v>
      </x:c>
      <x:c r="C32" s="36" t="str">
        <x:v>RED</x:v>
      </x:c>
      <x:c r="D32" s="36" t="str">
        <x:v>Z-SE</x:v>
      </x:c>
      <x:c r="E32" s="36" t="str">
        <x:v>海上臨檢演示</x:v>
      </x:c>
      <x:c r="F32" s="36" t="n">
        <x:v>10</x:v>
      </x:c>
      <x:c r="G32" s="36" t="n">
        <x:v>3</x:v>
      </x:c>
      <x:c r="H32" s="36" t="str">
        <x:v>在第10回合以海上臨檢演示改善任務態勢，並保留後續調整空間。</x:v>
      </x:c>
      <x:c r="I32" s="36" t="str">
        <x:v>已提交</x:v>
      </x:c>
      <x:c r="J32" s="36" t="str">
        <x:v>合成示範命令</x:v>
      </x:c>
    </x:row>
    <x:row r="33">
      <x:c r="A33" s="36" t="str">
        <x:v>ORD-030</x:v>
      </x:c>
      <x:c r="B33" s="36" t="n">
        <x:v>10</x:v>
      </x:c>
      <x:c r="C33" s="36" t="str">
        <x:v>AMBER</x:v>
      </x:c>
      <x:c r="D33" s="36" t="str">
        <x:v>Z-NW</x:v>
      </x:c>
      <x:c r="E33" s="36" t="str">
        <x:v>人道支援準備</x:v>
      </x:c>
      <x:c r="F33" s="36" t="n">
        <x:v>20</x:v>
      </x:c>
      <x:c r="G33" s="36" t="n">
        <x:v>5</x:v>
      </x:c>
      <x:c r="H33" s="36" t="str">
        <x:v>在第10回合以人道支援準備改善任務態勢，並保留後續調整空間。</x:v>
      </x:c>
      <x:c r="I33" s="36" t="str">
        <x:v>已提交</x:v>
      </x:c>
      <x:c r="J33" s="36" t="str">
        <x:v>合成示範命令</x:v>
      </x:c>
    </x:row>
    <x:row r="34">
      <x:c r="A34" s="36" t="str">
        <x:v>ORD-031</x:v>
      </x:c>
      <x:c r="B34" s="36" t="n">
        <x:v>11</x:v>
      </x:c>
      <x:c r="C34" s="36" t="str">
        <x:v>BLUE</x:v>
      </x:c>
      <x:c r="D34" s="36" t="str">
        <x:v>Z-REAR</x:v>
      </x:c>
      <x:c r="E34" s="36" t="str">
        <x:v>商船護航</x:v>
      </x:c>
      <x:c r="F34" s="36" t="n">
        <x:v>16</x:v>
      </x:c>
      <x:c r="G34" s="36" t="n">
        <x:v>3</x:v>
      </x:c>
      <x:c r="H34" s="36" t="str">
        <x:v>在第11回合以商船護航改善任務態勢，並保留後續調整空間。</x:v>
      </x:c>
      <x:c r="I34" s="36" t="str">
        <x:v>已提交</x:v>
      </x:c>
      <x:c r="J34" s="36" t="str">
        <x:v>合成示範命令</x:v>
      </x:c>
    </x:row>
    <x:row r="35">
      <x:c r="A35" s="36" t="str">
        <x:v>ORD-032</x:v>
      </x:c>
      <x:c r="B35" s="36" t="n">
        <x:v>11</x:v>
      </x:c>
      <x:c r="C35" s="36" t="str">
        <x:v>RED</x:v>
      </x:c>
      <x:c r="D35" s="36" t="str">
        <x:v>Z-NE</x:v>
      </x:c>
      <x:c r="E35" s="36" t="str">
        <x:v>增加空中施壓</x:v>
      </x:c>
      <x:c r="F35" s="36" t="n">
        <x:v>17</x:v>
      </x:c>
      <x:c r="G35" s="36" t="n">
        <x:v>2</x:v>
      </x:c>
      <x:c r="H35" s="36" t="str">
        <x:v>在第11回合以增加空中施壓改善任務態勢，並保留後續調整空間。</x:v>
      </x:c>
      <x:c r="I35" s="36" t="str">
        <x:v>已提交</x:v>
      </x:c>
      <x:c r="J35" s="36" t="str">
        <x:v>合成示範命令</x:v>
      </x:c>
    </x:row>
    <x:row r="36">
      <x:c r="A36" s="36" t="str">
        <x:v>ORD-033</x:v>
      </x:c>
      <x:c r="B36" s="36" t="n">
        <x:v>11</x:v>
      </x:c>
      <x:c r="C36" s="36" t="str">
        <x:v>AMBER</x:v>
      </x:c>
      <x:c r="D36" s="36" t="str">
        <x:v>Z-SW</x:v>
      </x:c>
      <x:c r="E36" s="36" t="str">
        <x:v>外交協調</x:v>
      </x:c>
      <x:c r="F36" s="36" t="n">
        <x:v>18</x:v>
      </x:c>
      <x:c r="G36" s="36" t="n">
        <x:v>4</x:v>
      </x:c>
      <x:c r="H36" s="36" t="str">
        <x:v>在第11回合以外交協調改善任務態勢，並保留後續調整空間。</x:v>
      </x:c>
      <x:c r="I36" s="36" t="str">
        <x:v>已提交</x:v>
      </x:c>
      <x:c r="J36" s="36" t="str">
        <x:v>合成示範命令</x:v>
      </x:c>
    </x:row>
    <x:row r="37">
      <x:c r="A37" s="36" t="str">
        <x:v>ORD-034</x:v>
      </x:c>
      <x:c r="B37" s="36" t="n">
        <x:v>12</x:v>
      </x:c>
      <x:c r="C37" s="36" t="str">
        <x:v>BLUE</x:v>
      </x:c>
      <x:c r="D37" s="36" t="str">
        <x:v>Z-SW</x:v>
      </x:c>
      <x:c r="E37" s="36" t="str">
        <x:v>分散部署</x:v>
      </x:c>
      <x:c r="F37" s="36" t="n">
        <x:v>14</x:v>
      </x:c>
      <x:c r="G37" s="36" t="n">
        <x:v>3</x:v>
      </x:c>
      <x:c r="H37" s="36" t="str">
        <x:v>在第12回合以分散部署改善任務態勢，並保留後續調整空間。</x:v>
      </x:c>
      <x:c r="I37" s="36" t="str">
        <x:v>已提交</x:v>
      </x:c>
      <x:c r="J37" s="36" t="str">
        <x:v>合成示範命令</x:v>
      </x:c>
    </x:row>
    <x:row r="38">
      <x:c r="A38" s="36" t="str">
        <x:v>ORD-035</x:v>
      </x:c>
      <x:c r="B38" s="36" t="n">
        <x:v>12</x:v>
      </x:c>
      <x:c r="C38" s="36" t="str">
        <x:v>RED</x:v>
      </x:c>
      <x:c r="D38" s="36" t="str">
        <x:v>Z-SE</x:v>
      </x:c>
      <x:c r="E38" s="36" t="str">
        <x:v>增加空中施壓</x:v>
      </x:c>
      <x:c r="F38" s="36" t="n">
        <x:v>20</x:v>
      </x:c>
      <x:c r="G38" s="36" t="n">
        <x:v>5</x:v>
      </x:c>
      <x:c r="H38" s="36" t="str">
        <x:v>在第12回合以增加空中施壓改善任務態勢，並保留後續調整空間。</x:v>
      </x:c>
      <x:c r="I38" s="36" t="str">
        <x:v>已提交</x:v>
      </x:c>
      <x:c r="J38" s="36" t="str">
        <x:v>合成示範命令</x:v>
      </x:c>
    </x:row>
    <x:row r="39">
      <x:c r="A39" s="36" t="str">
        <x:v>ORD-036</x:v>
      </x:c>
      <x:c r="B39" s="36" t="n">
        <x:v>12</x:v>
      </x:c>
      <x:c r="C39" s="36" t="str">
        <x:v>AMBER</x:v>
      </x:c>
      <x:c r="D39" s="36" t="str">
        <x:v>Z-SW</x:v>
      </x:c>
      <x:c r="E39" s="36" t="str">
        <x:v>人道支援準備</x:v>
      </x:c>
      <x:c r="F39" s="36" t="n">
        <x:v>25</x:v>
      </x:c>
      <x:c r="G39" s="36" t="n">
        <x:v>2</x:v>
      </x:c>
      <x:c r="H39" s="36" t="str">
        <x:v>在第12回合以人道支援準備改善任務態勢，並保留後續調整空間。</x:v>
      </x:c>
      <x:c r="I39" s="36" t="str">
        <x:v>已提交</x:v>
      </x:c>
      <x:c r="J39" s="36" t="str">
        <x:v>合成示範命令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bbf36f04e68453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2" hidden="0" customWidth="1"/>
    <x:col min="9" max="9" width="18" hidden="0" customWidth="1"/>
    <x:col min="10" max="10" width="14" hidden="0" customWidth="1"/>
    <x:col min="11" max="11" width="12" hidden="0" customWidth="1"/>
    <x:col min="12" max="12" width="16" hidden="0" customWidth="1"/>
    <x:col min="13" max="13" width="14" hidden="0" customWidth="1"/>
    <x:col min="14" max="14" width="24" hidden="0" customWidth="1"/>
    <x:col min="15" max="15" width="20" hidden="0" customWidth="1"/>
    <x:col min="16" max="16" width="16" hidden="0" customWidth="1"/>
    <x:col min="17" max="17" width="52" hidden="0" customWidth="1"/>
  </x:cols>
  <x:sheetData>
    <x:row r="1" ht="30" customHeight="1">
      <x:c r="A1" s="5" t="str">
        <x:v>合成交戰與防護判定</x:v>
      </x:c>
    </x:row>
    <x:row r="3">
      <x:c r="A3" s="14" t="str">
        <x:v>engagement_id</x:v>
      </x:c>
      <x:c r="B3" s="14" t="str">
        <x:v>turn</x:v>
      </x:c>
      <x:c r="C3" s="14" t="str">
        <x:v>attacker</x:v>
      </x:c>
      <x:c r="D3" s="14" t="str">
        <x:v>defender</x:v>
      </x:c>
      <x:c r="E3" s="14" t="str">
        <x:v>zone_id</x:v>
      </x:c>
      <x:c r="F3" s="14" t="str">
        <x:v>incoming_targets</x:v>
      </x:c>
      <x:c r="G3" s="14" t="str">
        <x:v>interceptor_shots</x:v>
      </x:c>
      <x:c r="H3" s="14" t="str">
        <x:v>base_p</x:v>
      </x:c>
      <x:c r="I3" s="14" t="str">
        <x:v>detection_quality</x:v>
      </x:c>
      <x:c r="J3" s="14" t="str">
        <x:v>readiness</x:v>
      </x:c>
      <x:c r="K3" s="14" t="str">
        <x:v>sea_state</x:v>
      </x:c>
      <x:c r="L3" s="14" t="str">
        <x:v>jamming_level</x:v>
      </x:c>
      <x:c r="M3" s="14" t="str">
        <x:v>adjusted_p</x:v>
      </x:c>
      <x:c r="N3" s="14" t="str">
        <x:v>at_least_one_success_p</x:v>
      </x:c>
      <x:c r="O3" s="14" t="str">
        <x:v>adjudicated_outcome</x:v>
      </x:c>
      <x:c r="P3" s="14" t="str">
        <x:v>damage_severity</x:v>
      </x:c>
      <x:c r="Q3" s="14" t="str">
        <x:v>safety_note</x:v>
      </x:c>
    </x:row>
    <x:row r="4">
      <x:c r="A4" s="36" t="str">
        <x:v>ENG-001</x:v>
      </x:c>
      <x:c r="B4" s="36" t="n">
        <x:v>1</x:v>
      </x:c>
      <x:c r="C4" s="36" t="str">
        <x:v>RED</x:v>
      </x:c>
      <x:c r="D4" s="36" t="str">
        <x:v>BLUE</x:v>
      </x:c>
      <x:c r="E4" s="36" t="str">
        <x:v>Z-SE</x:v>
      </x:c>
      <x:c r="F4" s="36" t="n">
        <x:v>3</x:v>
      </x:c>
      <x:c r="G4" s="36" t="n">
        <x:v>4</x:v>
      </x:c>
      <x:c r="H4" s="38" t="n">
        <x:v>0.46</x:v>
      </x:c>
      <x:c r="I4" s="38" t="n">
        <x:v>0.79</x:v>
      </x:c>
      <x:c r="J4" s="38" t="n">
        <x:v>0.68</x:v>
      </x:c>
      <x:c r="K4" s="38" t="n">
        <x:v>5</x:v>
      </x:c>
      <x:c r="L4" s="38" t="n">
        <x:v>0.19</x:v>
      </x:c>
      <x:c r="M4" s="38" t="n">
        <x:f>MIN(0.95,H4*(0.6+0.4*I4)*(0.75+0.25*J4)*(1-0.08*(K4-1))*(1-0.12*L4))</x:f>
        <x:v>0.2575926717952</x:v>
      </x:c>
      <x:c r="N4" s="38" t="n">
        <x:f>1-(1-M4)^G4</x:f>
        <x:v>0.6962131292088695</x:v>
      </x:c>
      <x:c r="O4" s="36" t="str">
        <x:v>防護成功</x:v>
      </x:c>
      <x:c r="P4" s="36" t="str">
        <x:v>輕微</x:v>
      </x:c>
      <x:c r="Q4" s="36" t="str">
        <x:v>所有效能與結果均為合成；不得對應真實系統</x:v>
      </x:c>
    </x:row>
    <x:row r="5">
      <x:c r="A5" s="36" t="str">
        <x:v>ENG-002</x:v>
      </x:c>
      <x:c r="B5" s="36" t="n">
        <x:v>1</x:v>
      </x:c>
      <x:c r="C5" s="36" t="str">
        <x:v>RED</x:v>
      </x:c>
      <x:c r="D5" s="36" t="str">
        <x:v>BLUE</x:v>
      </x:c>
      <x:c r="E5" s="36" t="str">
        <x:v>Z-E</x:v>
      </x:c>
      <x:c r="F5" s="36" t="n">
        <x:v>2</x:v>
      </x:c>
      <x:c r="G5" s="36" t="n">
        <x:v>1</x:v>
      </x:c>
      <x:c r="H5" s="38" t="n">
        <x:v>0.46</x:v>
      </x:c>
      <x:c r="I5" s="38" t="n">
        <x:v>0.94</x:v>
      </x:c>
      <x:c r="J5" s="38" t="n">
        <x:v>0.68</x:v>
      </x:c>
      <x:c r="K5" s="38" t="n">
        <x:v>4</x:v>
      </x:c>
      <x:c r="L5" s="38" t="n">
        <x:v>0.2</x:v>
      </x:c>
      <x:c r="M5" s="38" t="n">
        <x:f>MIN(0.95,H5*(0.6+0.4*I5)*(0.75+0.25*J5)*(1-0.08*(K5-1))*(1-0.12*L5))</x:f>
        <x:v>0.306378924032</x:v>
      </x:c>
      <x:c r="N5" s="38" t="n">
        <x:f>1-(1-M5)^G5</x:f>
        <x:v>0.30637892403200007</x:v>
      </x:c>
      <x:c r="O5" s="36" t="str">
        <x:v>部分/未成功</x:v>
      </x:c>
      <x:c r="P5" s="36" t="str">
        <x:v>輕微</x:v>
      </x:c>
      <x:c r="Q5" s="36" t="str">
        <x:v>所有效能與結果均為合成；不得對應真實系統</x:v>
      </x:c>
    </x:row>
    <x:row r="6">
      <x:c r="A6" s="36" t="str">
        <x:v>ENG-003</x:v>
      </x:c>
      <x:c r="B6" s="36" t="n">
        <x:v>2</x:v>
      </x:c>
      <x:c r="C6" s="36" t="str">
        <x:v>BLUE</x:v>
      </x:c>
      <x:c r="D6" s="36" t="str">
        <x:v>RED</x:v>
      </x:c>
      <x:c r="E6" s="36" t="str">
        <x:v>Z-SE</x:v>
      </x:c>
      <x:c r="F6" s="36" t="n">
        <x:v>3</x:v>
      </x:c>
      <x:c r="G6" s="36" t="n">
        <x:v>1</x:v>
      </x:c>
      <x:c r="H6" s="38" t="n">
        <x:v>0.62</x:v>
      </x:c>
      <x:c r="I6" s="38" t="n">
        <x:v>0.69</x:v>
      </x:c>
      <x:c r="J6" s="38" t="n">
        <x:v>0.71</x:v>
      </x:c>
      <x:c r="K6" s="38" t="n">
        <x:v>5</x:v>
      </x:c>
      <x:c r="L6" s="38" t="n">
        <x:v>0.27</x:v>
      </x:c>
      <x:c r="M6" s="38" t="n">
        <x:f>MIN(0.95,H6*(0.6+0.4*I6)*(0.75+0.25*J6)*(1-0.08*(K6-1))*(1-0.12*L6))</x:f>
        <x:v>0.3314473005984</x:v>
      </x:c>
      <x:c r="N6" s="38" t="n">
        <x:f>1-(1-M6)^G6</x:f>
        <x:v>0.3314473005984</x:v>
      </x:c>
      <x:c r="O6" s="36" t="str">
        <x:v>部分/未成功</x:v>
      </x:c>
      <x:c r="P6" s="36" t="str">
        <x:v>重大</x:v>
      </x:c>
      <x:c r="Q6" s="36" t="str">
        <x:v>所有效能與結果均為合成；不得對應真實系統</x:v>
      </x:c>
    </x:row>
    <x:row r="7">
      <x:c r="A7" s="36" t="str">
        <x:v>ENG-004</x:v>
      </x:c>
      <x:c r="B7" s="36" t="n">
        <x:v>2</x:v>
      </x:c>
      <x:c r="C7" s="36" t="str">
        <x:v>RED</x:v>
      </x:c>
      <x:c r="D7" s="36" t="str">
        <x:v>BLUE</x:v>
      </x:c>
      <x:c r="E7" s="36" t="str">
        <x:v>Z-NW</x:v>
      </x:c>
      <x:c r="F7" s="36" t="n">
        <x:v>1</x:v>
      </x:c>
      <x:c r="G7" s="36" t="n">
        <x:v>2</x:v>
      </x:c>
      <x:c r="H7" s="38" t="n">
        <x:v>0.42</x:v>
      </x:c>
      <x:c r="I7" s="38" t="n">
        <x:v>0.88</x:v>
      </x:c>
      <x:c r="J7" s="38" t="n">
        <x:v>0.84</x:v>
      </x:c>
      <x:c r="K7" s="38" t="n">
        <x:v>5</x:v>
      </x:c>
      <x:c r="L7" s="38" t="n">
        <x:v>0.24</x:v>
      </x:c>
      <x:c r="M7" s="38" t="n">
        <x:f>MIN(0.95,H7*(0.6+0.4*I7)*(0.75+0.25*J7)*(1-0.08*(K7-1))*(1-0.12*L7))</x:f>
        <x:v>0.2534983041024</x:v>
      </x:c>
      <x:c r="N7" s="38" t="n">
        <x:f>1-(1-M7)^G7</x:f>
        <x:v>0.442735218022007</x:v>
      </x:c>
      <x:c r="O7" s="36" t="str">
        <x:v>防護成功</x:v>
      </x:c>
      <x:c r="P7" s="36" t="str">
        <x:v>輕微</x:v>
      </x:c>
      <x:c r="Q7" s="36" t="str">
        <x:v>所有效能與結果均為合成；不得對應真實系統</x:v>
      </x:c>
    </x:row>
    <x:row r="8">
      <x:c r="A8" s="36" t="str">
        <x:v>ENG-005</x:v>
      </x:c>
      <x:c r="B8" s="36" t="n">
        <x:v>3</x:v>
      </x:c>
      <x:c r="C8" s="36" t="str">
        <x:v>RED</x:v>
      </x:c>
      <x:c r="D8" s="36" t="str">
        <x:v>BLUE</x:v>
      </x:c>
      <x:c r="E8" s="36" t="str">
        <x:v>Z-CW</x:v>
      </x:c>
      <x:c r="F8" s="36" t="n">
        <x:v>3</x:v>
      </x:c>
      <x:c r="G8" s="36" t="n">
        <x:v>1</x:v>
      </x:c>
      <x:c r="H8" s="38" t="n">
        <x:v>0.57</x:v>
      </x:c>
      <x:c r="I8" s="38" t="n">
        <x:v>0.69</x:v>
      </x:c>
      <x:c r="J8" s="38" t="n">
        <x:v>0.66</x:v>
      </x:c>
      <x:c r="K8" s="38" t="n">
        <x:v>4</x:v>
      </x:c>
      <x:c r="L8" s="38" t="n">
        <x:v>0.16</x:v>
      </x:c>
      <x:c r="M8" s="38" t="n">
        <x:f>MIN(0.95,H8*(0.6+0.4*I8)*(0.75+0.25*J8)*(1-0.08*(K8-1))*(1-0.12*L8))</x:f>
        <x:v>0.34056036714239996</x:v>
      </x:c>
      <x:c r="N8" s="38" t="n">
        <x:f>1-(1-M8)^G8</x:f>
        <x:v>0.3405603671424</x:v>
      </x:c>
      <x:c r="O8" s="36" t="str">
        <x:v>防護成功</x:v>
      </x:c>
      <x:c r="P8" s="36" t="str">
        <x:v>輕微</x:v>
      </x:c>
      <x:c r="Q8" s="36" t="str">
        <x:v>所有效能與結果均為合成；不得對應真實系統</x:v>
      </x:c>
    </x:row>
    <x:row r="9">
      <x:c r="A9" s="36" t="str">
        <x:v>ENG-006</x:v>
      </x:c>
      <x:c r="B9" s="36" t="n">
        <x:v>3</x:v>
      </x:c>
      <x:c r="C9" s="36" t="str">
        <x:v>BLUE</x:v>
      </x:c>
      <x:c r="D9" s="36" t="str">
        <x:v>RED</x:v>
      </x:c>
      <x:c r="E9" s="36" t="str">
        <x:v>Z-NW</x:v>
      </x:c>
      <x:c r="F9" s="36" t="n">
        <x:v>3</x:v>
      </x:c>
      <x:c r="G9" s="36" t="n">
        <x:v>2</x:v>
      </x:c>
      <x:c r="H9" s="38" t="n">
        <x:v>0.35</x:v>
      </x:c>
      <x:c r="I9" s="38" t="n">
        <x:v>0.81</x:v>
      </x:c>
      <x:c r="J9" s="38" t="n">
        <x:v>0.82</x:v>
      </x:c>
      <x:c r="K9" s="38" t="n">
        <x:v>5</x:v>
      </x:c>
      <x:c r="L9" s="38" t="n">
        <x:v>0.1</x:v>
      </x:c>
      <x:c r="M9" s="38" t="n">
        <x:f>MIN(0.95,H9*(0.6+0.4*I9)*(0.75+0.25*J9)*(1-0.08*(K9-1))*(1-0.12*L9))</x:f>
        <x:v>0.20749576847999998</x:v>
      </x:c>
      <x:c r="N9" s="38" t="n">
        <x:f>1-(1-M9)^G9</x:f>
        <x:v>0.3719370430228942</x:v>
      </x:c>
      <x:c r="O9" s="36" t="str">
        <x:v>部分/未成功</x:v>
      </x:c>
      <x:c r="P9" s="36" t="str">
        <x:v>輕微</x:v>
      </x:c>
      <x:c r="Q9" s="36" t="str">
        <x:v>所有效能與結果均為合成；不得對應真實系統</x:v>
      </x:c>
    </x:row>
    <x:row r="10">
      <x:c r="A10" s="36" t="str">
        <x:v>ENG-007</x:v>
      </x:c>
      <x:c r="B10" s="36" t="n">
        <x:v>4</x:v>
      </x:c>
      <x:c r="C10" s="36" t="str">
        <x:v>RED</x:v>
      </x:c>
      <x:c r="D10" s="36" t="str">
        <x:v>BLUE</x:v>
      </x:c>
      <x:c r="E10" s="36" t="str">
        <x:v>Z-SE</x:v>
      </x:c>
      <x:c r="F10" s="36" t="n">
        <x:v>4</x:v>
      </x:c>
      <x:c r="G10" s="36" t="n">
        <x:v>3</x:v>
      </x:c>
      <x:c r="H10" s="38" t="n">
        <x:v>0.5</x:v>
      </x:c>
      <x:c r="I10" s="38" t="n">
        <x:v>0.91</x:v>
      </x:c>
      <x:c r="J10" s="38" t="n">
        <x:v>0.88</x:v>
      </x:c>
      <x:c r="K10" s="38" t="n">
        <x:v>2</x:v>
      </x:c>
      <x:c r="L10" s="38" t="n">
        <x:v>0.08</x:v>
      </x:c>
      <x:c r="M10" s="38" t="n">
        <x:f>MIN(0.95,H10*(0.6+0.4*I10)*(0.75+0.25*J10)*(1-0.08*(K10-1))*(1-0.12*L10))</x:f>
        <x:v>0.42600748671999994</x:v>
      </x:c>
      <x:c r="N10" s="38" t="n">
        <x:f>1-(1-M10)^G10</x:f>
        <x:v>0.8108881759871567</x:v>
      </x:c>
      <x:c r="O10" s="36" t="str">
        <x:v>防護成功</x:v>
      </x:c>
      <x:c r="P10" s="36" t="str">
        <x:v>無</x:v>
      </x:c>
      <x:c r="Q10" s="36" t="str">
        <x:v>所有效能與結果均為合成；不得對應真實系統</x:v>
      </x:c>
    </x:row>
    <x:row r="11">
      <x:c r="A11" s="36" t="str">
        <x:v>ENG-008</x:v>
      </x:c>
      <x:c r="B11" s="36" t="n">
        <x:v>4</x:v>
      </x:c>
      <x:c r="C11" s="36" t="str">
        <x:v>RED</x:v>
      </x:c>
      <x:c r="D11" s="36" t="str">
        <x:v>BLUE</x:v>
      </x:c>
      <x:c r="E11" s="36" t="str">
        <x:v>Z-SE</x:v>
      </x:c>
      <x:c r="F11" s="36" t="n">
        <x:v>2</x:v>
      </x:c>
      <x:c r="G11" s="36" t="n">
        <x:v>1</x:v>
      </x:c>
      <x:c r="H11" s="38" t="n">
        <x:v>0.54</x:v>
      </x:c>
      <x:c r="I11" s="38" t="n">
        <x:v>0.79</x:v>
      </x:c>
      <x:c r="J11" s="38" t="n">
        <x:v>0.71</x:v>
      </x:c>
      <x:c r="K11" s="38" t="n">
        <x:v>3</x:v>
      </x:c>
      <x:c r="L11" s="38" t="n">
        <x:v>0.32</x:v>
      </x:c>
      <x:c r="M11" s="38" t="n">
        <x:f>MIN(0.95,H11*(0.6+0.4*I11)*(0.75+0.25*J11)*(1-0.08*(K11-1))*(1-0.12*L11))</x:f>
        <x:v>0.37057566147840004</x:v>
      </x:c>
      <x:c r="N11" s="38" t="n">
        <x:f>1-(1-M11)^G11</x:f>
        <x:v>0.37057566147840004</x:v>
      </x:c>
      <x:c r="O11" s="36" t="str">
        <x:v>防護成功</x:v>
      </x:c>
      <x:c r="P11" s="36" t="str">
        <x:v>中等</x:v>
      </x:c>
      <x:c r="Q11" s="36" t="str">
        <x:v>所有效能與結果均為合成；不得對應真實系統</x:v>
      </x:c>
    </x:row>
    <x:row r="12">
      <x:c r="A12" s="36" t="str">
        <x:v>ENG-009</x:v>
      </x:c>
      <x:c r="B12" s="36" t="n">
        <x:v>5</x:v>
      </x:c>
      <x:c r="C12" s="36" t="str">
        <x:v>BLUE</x:v>
      </x:c>
      <x:c r="D12" s="36" t="str">
        <x:v>RED</x:v>
      </x:c>
      <x:c r="E12" s="36" t="str">
        <x:v>Z-NW</x:v>
      </x:c>
      <x:c r="F12" s="36" t="n">
        <x:v>1</x:v>
      </x:c>
      <x:c r="G12" s="36" t="n">
        <x:v>1</x:v>
      </x:c>
      <x:c r="H12" s="38" t="n">
        <x:v>0.47</x:v>
      </x:c>
      <x:c r="I12" s="38" t="n">
        <x:v>0.75</x:v>
      </x:c>
      <x:c r="J12" s="38" t="n">
        <x:v>0.73</x:v>
      </x:c>
      <x:c r="K12" s="38" t="n">
        <x:v>2</x:v>
      </x:c>
      <x:c r="L12" s="38" t="n">
        <x:v>0.2</x:v>
      </x:c>
      <x:c r="M12" s="38" t="n">
        <x:f>MIN(0.95,H12*(0.6+0.4*I12)*(0.75+0.25*J12)*(1-0.08*(K12-1))*(1-0.12*L12))</x:f>
        <x:v>0.35418229920000005</x:v>
      </x:c>
      <x:c r="N12" s="38" t="n">
        <x:f>1-(1-M12)^G12</x:f>
        <x:v>0.3541822992000001</x:v>
      </x:c>
      <x:c r="O12" s="36" t="str">
        <x:v>防護成功</x:v>
      </x:c>
      <x:c r="P12" s="36" t="str">
        <x:v>輕微</x:v>
      </x:c>
      <x:c r="Q12" s="36" t="str">
        <x:v>所有效能與結果均為合成；不得對應真實系統</x:v>
      </x:c>
    </x:row>
    <x:row r="13">
      <x:c r="A13" s="36" t="str">
        <x:v>ENG-010</x:v>
      </x:c>
      <x:c r="B13" s="36" t="n">
        <x:v>5</x:v>
      </x:c>
      <x:c r="C13" s="36" t="str">
        <x:v>RED</x:v>
      </x:c>
      <x:c r="D13" s="36" t="str">
        <x:v>BLUE</x:v>
      </x:c>
      <x:c r="E13" s="36" t="str">
        <x:v>Z-SW</x:v>
      </x:c>
      <x:c r="F13" s="36" t="n">
        <x:v>3</x:v>
      </x:c>
      <x:c r="G13" s="36" t="n">
        <x:v>3</x:v>
      </x:c>
      <x:c r="H13" s="38" t="n">
        <x:v>0.59</x:v>
      </x:c>
      <x:c r="I13" s="38" t="n">
        <x:v>0.66</x:v>
      </x:c>
      <x:c r="J13" s="38" t="n">
        <x:v>0.8</x:v>
      </x:c>
      <x:c r="K13" s="38" t="n">
        <x:v>5</x:v>
      </x:c>
      <x:c r="L13" s="38" t="n">
        <x:v>0.28</x:v>
      </x:c>
      <x:c r="M13" s="38" t="n">
        <x:f>MIN(0.95,H13*(0.6+0.4*I13)*(0.75+0.25*J13)*(1-0.08*(K13-1))*(1-0.12*L13))</x:f>
        <x:v>0.318240313344</x:v>
      </x:c>
      <x:c r="N13" s="38" t="n">
        <x:f>1-(1-M13)^G13</x:f>
        <x:v>0.6831206403677923</x:v>
      </x:c>
      <x:c r="O13" s="36" t="str">
        <x:v>部分/未成功</x:v>
      </x:c>
      <x:c r="P13" s="36" t="str">
        <x:v>中等</x:v>
      </x:c>
      <x:c r="Q13" s="36" t="str">
        <x:v>所有效能與結果均為合成；不得對應真實系統</x:v>
      </x:c>
    </x:row>
    <x:row r="14">
      <x:c r="A14" s="36" t="str">
        <x:v>ENG-011</x:v>
      </x:c>
      <x:c r="B14" s="36" t="n">
        <x:v>6</x:v>
      </x:c>
      <x:c r="C14" s="36" t="str">
        <x:v>RED</x:v>
      </x:c>
      <x:c r="D14" s="36" t="str">
        <x:v>BLUE</x:v>
      </x:c>
      <x:c r="E14" s="36" t="str">
        <x:v>Z-SE</x:v>
      </x:c>
      <x:c r="F14" s="36" t="n">
        <x:v>2</x:v>
      </x:c>
      <x:c r="G14" s="36" t="n">
        <x:v>2</x:v>
      </x:c>
      <x:c r="H14" s="38" t="n">
        <x:v>0.42</x:v>
      </x:c>
      <x:c r="I14" s="38" t="n">
        <x:v>0.92</x:v>
      </x:c>
      <x:c r="J14" s="38" t="n">
        <x:v>0.67</x:v>
      </x:c>
      <x:c r="K14" s="38" t="n">
        <x:v>5</x:v>
      </x:c>
      <x:c r="L14" s="38" t="n">
        <x:v>0.14</x:v>
      </x:c>
      <x:c r="M14" s="38" t="n">
        <x:f>MIN(0.95,H14*(0.6+0.4*I14)*(0.75+0.25*J14)*(1-0.08*(K14-1))*(1-0.12*L14))</x:f>
        <x:v>0.24939141722879996</x:v>
      </x:c>
      <x:c r="N14" s="38" t="n">
        <x:f>1-(1-M14)^G14</x:f>
        <x:v>0.43658675547021053</x:v>
      </x:c>
      <x:c r="O14" s="36" t="str">
        <x:v>防護成功</x:v>
      </x:c>
      <x:c r="P14" s="36" t="str">
        <x:v>無</x:v>
      </x:c>
      <x:c r="Q14" s="36" t="str">
        <x:v>所有效能與結果均為合成；不得對應真實系統</x:v>
      </x:c>
    </x:row>
    <x:row r="15">
      <x:c r="A15" s="36" t="str">
        <x:v>ENG-012</x:v>
      </x:c>
      <x:c r="B15" s="36" t="n">
        <x:v>6</x:v>
      </x:c>
      <x:c r="C15" s="36" t="str">
        <x:v>BLUE</x:v>
      </x:c>
      <x:c r="D15" s="36" t="str">
        <x:v>RED</x:v>
      </x:c>
      <x:c r="E15" s="36" t="str">
        <x:v>Z-E</x:v>
      </x:c>
      <x:c r="F15" s="36" t="n">
        <x:v>2</x:v>
      </x:c>
      <x:c r="G15" s="36" t="n">
        <x:v>3</x:v>
      </x:c>
      <x:c r="H15" s="38" t="n">
        <x:v>0.5</x:v>
      </x:c>
      <x:c r="I15" s="38" t="n">
        <x:v>0.85</x:v>
      </x:c>
      <x:c r="J15" s="38" t="n">
        <x:v>0.9</x:v>
      </x:c>
      <x:c r="K15" s="38" t="n">
        <x:v>5</x:v>
      </x:c>
      <x:c r="L15" s="38" t="n">
        <x:v>0.22</x:v>
      </x:c>
      <x:c r="M15" s="38" t="n">
        <x:f>MIN(0.95,H15*(0.6+0.4*I15)*(0.75+0.25*J15)*(1-0.08*(K15-1))*(1-0.12*L15))</x:f>
        <x:v>0.303383496</x:v>
      </x:c>
      <x:c r="N15" s="38" t="n">
        <x:f>1-(1-M15)^G15</x:f>
        <x:v>0.6619497369595327</x:v>
      </x:c>
      <x:c r="O15" s="36" t="str">
        <x:v>防護成功</x:v>
      </x:c>
      <x:c r="P15" s="36" t="str">
        <x:v>無</x:v>
      </x:c>
      <x:c r="Q15" s="36" t="str">
        <x:v>所有效能與結果均為合成；不得對應真實系統</x:v>
      </x:c>
    </x:row>
    <x:row r="16">
      <x:c r="A16" s="36" t="str">
        <x:v>ENG-013</x:v>
      </x:c>
      <x:c r="B16" s="36" t="n">
        <x:v>7</x:v>
      </x:c>
      <x:c r="C16" s="36" t="str">
        <x:v>RED</x:v>
      </x:c>
      <x:c r="D16" s="36" t="str">
        <x:v>BLUE</x:v>
      </x:c>
      <x:c r="E16" s="36" t="str">
        <x:v>Z-CW</x:v>
      </x:c>
      <x:c r="F16" s="36" t="n">
        <x:v>1</x:v>
      </x:c>
      <x:c r="G16" s="36" t="n">
        <x:v>1</x:v>
      </x:c>
      <x:c r="H16" s="38" t="n">
        <x:v>0.58</x:v>
      </x:c>
      <x:c r="I16" s="38" t="n">
        <x:v>0.77</x:v>
      </x:c>
      <x:c r="J16" s="38" t="n">
        <x:v>0.76</x:v>
      </x:c>
      <x:c r="K16" s="38" t="n">
        <x:v>3</x:v>
      </x:c>
      <x:c r="L16" s="38" t="n">
        <x:v>0.25</x:v>
      </x:c>
      <x:c r="M16" s="38" t="n">
        <x:f>MIN(0.95,H16*(0.6+0.4*I16)*(0.75+0.25*J16)*(1-0.08*(K16-1))*(1-0.12*L16))</x:f>
        <x:v>0.40335989567999997</x:v>
      </x:c>
      <x:c r="N16" s="38" t="n">
        <x:f>1-(1-M16)^G16</x:f>
        <x:v>0.40335989567999997</x:v>
      </x:c>
      <x:c r="O16" s="36" t="str">
        <x:v>部分/未成功</x:v>
      </x:c>
      <x:c r="P16" s="36" t="str">
        <x:v>中等</x:v>
      </x:c>
      <x:c r="Q16" s="36" t="str">
        <x:v>所有效能與結果均為合成；不得對應真實系統</x:v>
      </x:c>
    </x:row>
    <x:row r="17">
      <x:c r="A17" s="36" t="str">
        <x:v>ENG-014</x:v>
      </x:c>
      <x:c r="B17" s="36" t="n">
        <x:v>7</x:v>
      </x:c>
      <x:c r="C17" s="36" t="str">
        <x:v>RED</x:v>
      </x:c>
      <x:c r="D17" s="36" t="str">
        <x:v>BLUE</x:v>
      </x:c>
      <x:c r="E17" s="36" t="str">
        <x:v>Z-CW</x:v>
      </x:c>
      <x:c r="F17" s="36" t="n">
        <x:v>2</x:v>
      </x:c>
      <x:c r="G17" s="36" t="n">
        <x:v>2</x:v>
      </x:c>
      <x:c r="H17" s="38" t="n">
        <x:v>0.35</x:v>
      </x:c>
      <x:c r="I17" s="38" t="n">
        <x:v>0.67</x:v>
      </x:c>
      <x:c r="J17" s="38" t="n">
        <x:v>0.71</x:v>
      </x:c>
      <x:c r="K17" s="38" t="n">
        <x:v>3</x:v>
      </x:c>
      <x:c r="L17" s="38" t="n">
        <x:v>0.19</x:v>
      </x:c>
      <x:c r="M17" s="38" t="n">
        <x:f>MIN(0.95,H17*(0.6+0.4*I17)*(0.75+0.25*J17)*(1-0.08*(K17-1))*(1-0.12*L17))</x:f>
        <x:v>0.23129403477599997</x:v>
      </x:c>
      <x:c r="N17" s="38" t="n">
        <x:f>1-(1-M17)^G17</x:f>
        <x:v>0.4090911390290385</x:v>
      </x:c>
      <x:c r="O17" s="36" t="str">
        <x:v>防護成功</x:v>
      </x:c>
      <x:c r="P17" s="36" t="str">
        <x:v>中等</x:v>
      </x:c>
      <x:c r="Q17" s="36" t="str">
        <x:v>所有效能與結果均為合成；不得對應真實系統</x:v>
      </x:c>
    </x:row>
    <x:row r="18">
      <x:c r="A18" s="36" t="str">
        <x:v>ENG-015</x:v>
      </x:c>
      <x:c r="B18" s="36" t="n">
        <x:v>8</x:v>
      </x:c>
      <x:c r="C18" s="36" t="str">
        <x:v>BLUE</x:v>
      </x:c>
      <x:c r="D18" s="36" t="str">
        <x:v>RED</x:v>
      </x:c>
      <x:c r="E18" s="36" t="str">
        <x:v>Z-E</x:v>
      </x:c>
      <x:c r="F18" s="36" t="n">
        <x:v>4</x:v>
      </x:c>
      <x:c r="G18" s="36" t="n">
        <x:v>2</x:v>
      </x:c>
      <x:c r="H18" s="38" t="n">
        <x:v>0.5</x:v>
      </x:c>
      <x:c r="I18" s="38" t="n">
        <x:v>0.69</x:v>
      </x:c>
      <x:c r="J18" s="38" t="n">
        <x:v>0.72</x:v>
      </x:c>
      <x:c r="K18" s="38" t="n">
        <x:v>5</x:v>
      </x:c>
      <x:c r="L18" s="38" t="n">
        <x:v>0.33</x:v>
      </x:c>
      <x:c r="M18" s="38" t="n">
        <x:f>MIN(0.95,H18*(0.6+0.4*I18)*(0.75+0.25*J18)*(1-0.08*(K18-1))*(1-0.12*L18))</x:f>
        <x:v>0.26602234847999995</x:v>
      </x:c>
      <x:c r="N18" s="38" t="n">
        <x:f>1-(1-M18)^G18</x:f>
        <x:v>0.4612768070691854</x:v>
      </x:c>
      <x:c r="O18" s="36" t="str">
        <x:v>部分/未成功</x:v>
      </x:c>
      <x:c r="P18" s="36" t="str">
        <x:v>中等</x:v>
      </x:c>
      <x:c r="Q18" s="36" t="str">
        <x:v>所有效能與結果均為合成；不得對應真實系統</x:v>
      </x:c>
    </x:row>
    <x:row r="19">
      <x:c r="A19" s="36" t="str">
        <x:v>ENG-016</x:v>
      </x:c>
      <x:c r="B19" s="36" t="n">
        <x:v>8</x:v>
      </x:c>
      <x:c r="C19" s="36" t="str">
        <x:v>RED</x:v>
      </x:c>
      <x:c r="D19" s="36" t="str">
        <x:v>BLUE</x:v>
      </x:c>
      <x:c r="E19" s="36" t="str">
        <x:v>Z-NW</x:v>
      </x:c>
      <x:c r="F19" s="36" t="n">
        <x:v>4</x:v>
      </x:c>
      <x:c r="G19" s="36" t="n">
        <x:v>3</x:v>
      </x:c>
      <x:c r="H19" s="38" t="n">
        <x:v>0.35</x:v>
      </x:c>
      <x:c r="I19" s="38" t="n">
        <x:v>0.78</x:v>
      </x:c>
      <x:c r="J19" s="38" t="n">
        <x:v>0.84</x:v>
      </x:c>
      <x:c r="K19" s="38" t="n">
        <x:v>3</x:v>
      </x:c>
      <x:c r="L19" s="38" t="n">
        <x:v>0.15</x:v>
      </x:c>
      <x:c r="M19" s="38" t="n">
        <x:f>MIN(0.95,H19*(0.6+0.4*I19)*(0.75+0.25*J19)*(1-0.08*(K19-1))*(1-0.12*L19))</x:f>
        <x:v>0.25276962816</x:v>
      </x:c>
      <x:c r="N19" s="38" t="n">
        <x:f>1-(1-M19)^G19</x:f>
        <x:v>0.5827815093750495</x:v>
      </x:c>
      <x:c r="O19" s="36" t="str">
        <x:v>防護成功</x:v>
      </x:c>
      <x:c r="P19" s="36" t="str">
        <x:v>輕微</x:v>
      </x:c>
      <x:c r="Q19" s="36" t="str">
        <x:v>所有效能與結果均為合成；不得對應真實系統</x:v>
      </x:c>
    </x:row>
    <x:row r="20">
      <x:c r="A20" s="36" t="str">
        <x:v>ENG-017</x:v>
      </x:c>
      <x:c r="B20" s="36" t="n">
        <x:v>9</x:v>
      </x:c>
      <x:c r="C20" s="36" t="str">
        <x:v>RED</x:v>
      </x:c>
      <x:c r="D20" s="36" t="str">
        <x:v>BLUE</x:v>
      </x:c>
      <x:c r="E20" s="36" t="str">
        <x:v>Z-SE</x:v>
      </x:c>
      <x:c r="F20" s="36" t="n">
        <x:v>2</x:v>
      </x:c>
      <x:c r="G20" s="36" t="n">
        <x:v>4</x:v>
      </x:c>
      <x:c r="H20" s="38" t="n">
        <x:v>0.5</x:v>
      </x:c>
      <x:c r="I20" s="38" t="n">
        <x:v>0.87</x:v>
      </x:c>
      <x:c r="J20" s="38" t="n">
        <x:v>0.69</x:v>
      </x:c>
      <x:c r="K20" s="38" t="n">
        <x:v>2</x:v>
      </x:c>
      <x:c r="L20" s="38" t="n">
        <x:v>0.19</x:v>
      </x:c>
      <x:c r="M20" s="38" t="n">
        <x:f>MIN(0.95,H20*(0.6+0.4*I20)*(0.75+0.25*J20)*(1-0.08*(K20-1))*(1-0.12*L20))</x:f>
        <x:v>0.39311172935999994</x:v>
      </x:c>
      <x:c r="N20" s="38" t="n">
        <x:f>1-(1-M20)^G20</x:f>
        <x:v>0.8643452592395958</x:v>
      </x:c>
      <x:c r="O20" s="36" t="str">
        <x:v>防護成功</x:v>
      </x:c>
      <x:c r="P20" s="36" t="str">
        <x:v>無</x:v>
      </x:c>
      <x:c r="Q20" s="36" t="str">
        <x:v>所有效能與結果均為合成；不得對應真實系統</x:v>
      </x:c>
    </x:row>
    <x:row r="21">
      <x:c r="A21" s="36" t="str">
        <x:v>ENG-018</x:v>
      </x:c>
      <x:c r="B21" s="36" t="n">
        <x:v>9</x:v>
      </x:c>
      <x:c r="C21" s="36" t="str">
        <x:v>BLUE</x:v>
      </x:c>
      <x:c r="D21" s="36" t="str">
        <x:v>RED</x:v>
      </x:c>
      <x:c r="E21" s="36" t="str">
        <x:v>Z-CW</x:v>
      </x:c>
      <x:c r="F21" s="36" t="n">
        <x:v>3</x:v>
      </x:c>
      <x:c r="G21" s="36" t="n">
        <x:v>2</x:v>
      </x:c>
      <x:c r="H21" s="38" t="n">
        <x:v>0.55</x:v>
      </x:c>
      <x:c r="I21" s="38" t="n">
        <x:v>0.93</x:v>
      </x:c>
      <x:c r="J21" s="38" t="n">
        <x:v>0.78</x:v>
      </x:c>
      <x:c r="K21" s="38" t="n">
        <x:v>2</x:v>
      </x:c>
      <x:c r="L21" s="38" t="n">
        <x:v>0.06</x:v>
      </x:c>
      <x:c r="M21" s="38" t="n">
        <x:f>MIN(0.95,H21*(0.6+0.4*I21)*(0.75+0.25*J21)*(1-0.08*(K21-1))*(1-0.12*L21))</x:f>
        <x:v>0.4614348150720002</x:v>
      </x:c>
      <x:c r="N21" s="38" t="n">
        <x:f>1-(1-M21)^G21</x:f>
        <x:v>0.7099475415834694</x:v>
      </x:c>
      <x:c r="O21" s="36" t="str">
        <x:v>部分/未成功</x:v>
      </x:c>
      <x:c r="P21" s="36" t="str">
        <x:v>重大</x:v>
      </x:c>
      <x:c r="Q21" s="36" t="str">
        <x:v>所有效能與結果均為合成；不得對應真實系統</x:v>
      </x:c>
    </x:row>
    <x:row r="22">
      <x:c r="A22" s="36" t="str">
        <x:v>ENG-019</x:v>
      </x:c>
      <x:c r="B22" s="36" t="n">
        <x:v>10</x:v>
      </x:c>
      <x:c r="C22" s="36" t="str">
        <x:v>RED</x:v>
      </x:c>
      <x:c r="D22" s="36" t="str">
        <x:v>BLUE</x:v>
      </x:c>
      <x:c r="E22" s="36" t="str">
        <x:v>Z-SE</x:v>
      </x:c>
      <x:c r="F22" s="36" t="n">
        <x:v>2</x:v>
      </x:c>
      <x:c r="G22" s="36" t="n">
        <x:v>4</x:v>
      </x:c>
      <x:c r="H22" s="38" t="n">
        <x:v>0.47</x:v>
      </x:c>
      <x:c r="I22" s="38" t="n">
        <x:v>0.87</x:v>
      </x:c>
      <x:c r="J22" s="38" t="n">
        <x:v>0.79</x:v>
      </x:c>
      <x:c r="K22" s="38" t="n">
        <x:v>2</x:v>
      </x:c>
      <x:c r="L22" s="38" t="n">
        <x:v>0.07</x:v>
      </x:c>
      <x:c r="M22" s="38" t="n">
        <x:f>MIN(0.95,H22*(0.6+0.4*I22)*(0.75+0.25*J22)*(1-0.08*(K22-1))*(1-0.12*L22))</x:f>
        <x:v>0.3851321369232</x:v>
      </x:c>
      <x:c r="N22" s="38" t="n">
        <x:f>1-(1-M22)^G22</x:f>
        <x:v>0.8570687543773786</x:v>
      </x:c>
      <x:c r="O22" s="36" t="str">
        <x:v>部分/未成功</x:v>
      </x:c>
      <x:c r="P22" s="36" t="str">
        <x:v>輕微</x:v>
      </x:c>
      <x:c r="Q22" s="36" t="str">
        <x:v>所有效能與結果均為合成；不得對應真實系統</x:v>
      </x:c>
    </x:row>
    <x:row r="23">
      <x:c r="A23" s="36" t="str">
        <x:v>ENG-020</x:v>
      </x:c>
      <x:c r="B23" s="36" t="n">
        <x:v>10</x:v>
      </x:c>
      <x:c r="C23" s="36" t="str">
        <x:v>RED</x:v>
      </x:c>
      <x:c r="D23" s="36" t="str">
        <x:v>BLUE</x:v>
      </x:c>
      <x:c r="E23" s="36" t="str">
        <x:v>Z-E</x:v>
      </x:c>
      <x:c r="F23" s="36" t="n">
        <x:v>1</x:v>
      </x:c>
      <x:c r="G23" s="36" t="n">
        <x:v>1</x:v>
      </x:c>
      <x:c r="H23" s="38" t="n">
        <x:v>0.49</x:v>
      </x:c>
      <x:c r="I23" s="38" t="n">
        <x:v>0.7</x:v>
      </x:c>
      <x:c r="J23" s="38" t="n">
        <x:v>0.79</x:v>
      </x:c>
      <x:c r="K23" s="38" t="n">
        <x:v>2</x:v>
      </x:c>
      <x:c r="L23" s="38" t="n">
        <x:v>0.09</x:v>
      </x:c>
      <x:c r="M23" s="38" t="n">
        <x:f>MIN(0.95,H23*(0.6+0.4*I23)*(0.75+0.25*J23)*(1-0.08*(K23-1))*(1-0.12*L23))</x:f>
        <x:v>0.3718175679679999</x:v>
      </x:c>
      <x:c r="N23" s="38" t="n">
        <x:f>1-(1-M23)^G23</x:f>
        <x:v>0.3718175679679999</x:v>
      </x:c>
      <x:c r="O23" s="36" t="str">
        <x:v>部分/未成功</x:v>
      </x:c>
      <x:c r="P23" s="36" t="str">
        <x:v>重大</x:v>
      </x:c>
      <x:c r="Q23" s="36" t="str">
        <x:v>所有效能與結果均為合成；不得對應真實系統</x:v>
      </x:c>
    </x:row>
    <x:row r="24">
      <x:c r="A24" s="36" t="str">
        <x:v>ENG-021</x:v>
      </x:c>
      <x:c r="B24" s="36" t="n">
        <x:v>11</x:v>
      </x:c>
      <x:c r="C24" s="36" t="str">
        <x:v>BLUE</x:v>
      </x:c>
      <x:c r="D24" s="36" t="str">
        <x:v>RED</x:v>
      </x:c>
      <x:c r="E24" s="36" t="str">
        <x:v>Z-SE</x:v>
      </x:c>
      <x:c r="F24" s="36" t="n">
        <x:v>2</x:v>
      </x:c>
      <x:c r="G24" s="36" t="n">
        <x:v>2</x:v>
      </x:c>
      <x:c r="H24" s="38" t="n">
        <x:v>0.41</x:v>
      </x:c>
      <x:c r="I24" s="38" t="n">
        <x:v>0.66</x:v>
      </x:c>
      <x:c r="J24" s="38" t="n">
        <x:v>0.74</x:v>
      </x:c>
      <x:c r="K24" s="38" t="n">
        <x:v>4</x:v>
      </x:c>
      <x:c r="L24" s="38" t="n">
        <x:v>0.2</x:v>
      </x:c>
      <x:c r="M24" s="38" t="n">
        <x:f>MIN(0.95,H24*(0.6+0.4*I24)*(0.75+0.25*J24)*(1-0.08*(K24-1))*(1-0.12*L24))</x:f>
        <x:v>0.245681593344</x:v>
      </x:c>
      <x:c r="N24" s="38" t="n">
        <x:f>1-(1-M24)^G24</x:f>
        <x:v>0.43100374137995334</x:v>
      </x:c>
      <x:c r="O24" s="36" t="str">
        <x:v>防護成功</x:v>
      </x:c>
      <x:c r="P24" s="36" t="str">
        <x:v>無</x:v>
      </x:c>
      <x:c r="Q24" s="36" t="str">
        <x:v>所有效能與結果均為合成；不得對應真實系統</x:v>
      </x:c>
    </x:row>
    <x:row r="25">
      <x:c r="A25" s="36" t="str">
        <x:v>ENG-022</x:v>
      </x:c>
      <x:c r="B25" s="36" t="n">
        <x:v>11</x:v>
      </x:c>
      <x:c r="C25" s="36" t="str">
        <x:v>RED</x:v>
      </x:c>
      <x:c r="D25" s="36" t="str">
        <x:v>BLUE</x:v>
      </x:c>
      <x:c r="E25" s="36" t="str">
        <x:v>Z-E</x:v>
      </x:c>
      <x:c r="F25" s="36" t="n">
        <x:v>1</x:v>
      </x:c>
      <x:c r="G25" s="36" t="n">
        <x:v>3</x:v>
      </x:c>
      <x:c r="H25" s="38" t="n">
        <x:v>0.46</x:v>
      </x:c>
      <x:c r="I25" s="38" t="n">
        <x:v>0.72</x:v>
      </x:c>
      <x:c r="J25" s="38" t="n">
        <x:v>0.69</x:v>
      </x:c>
      <x:c r="K25" s="38" t="n">
        <x:v>4</x:v>
      </x:c>
      <x:c r="L25" s="38" t="n">
        <x:v>0.33</x:v>
      </x:c>
      <x:c r="M25" s="38" t="n">
        <x:f>MIN(0.95,H25*(0.6+0.4*I25)*(0.75+0.25*J25)*(1-0.08*(K25-1))*(1-0.12*L25))</x:f>
        <x:v>0.2750444690112</x:v>
      </x:c>
      <x:c r="N25" s="38" t="n">
        <x:f>1-(1-M25)^G25</x:f>
        <x:v>0.6189919927710767</x:v>
      </x:c>
      <x:c r="O25" s="36" t="str">
        <x:v>部分/未成功</x:v>
      </x:c>
      <x:c r="P25" s="36" t="str">
        <x:v>輕微</x:v>
      </x:c>
      <x:c r="Q25" s="36" t="str">
        <x:v>所有效能與結果均為合成；不得對應真實系統</x:v>
      </x:c>
    </x:row>
    <x:row r="26">
      <x:c r="A26" s="36" t="str">
        <x:v>ENG-023</x:v>
      </x:c>
      <x:c r="B26" s="36" t="n">
        <x:v>12</x:v>
      </x:c>
      <x:c r="C26" s="36" t="str">
        <x:v>RED</x:v>
      </x:c>
      <x:c r="D26" s="36" t="str">
        <x:v>BLUE</x:v>
      </x:c>
      <x:c r="E26" s="36" t="str">
        <x:v>Z-SE</x:v>
      </x:c>
      <x:c r="F26" s="36" t="n">
        <x:v>1</x:v>
      </x:c>
      <x:c r="G26" s="36" t="n">
        <x:v>4</x:v>
      </x:c>
      <x:c r="H26" s="38" t="n">
        <x:v>0.5</x:v>
      </x:c>
      <x:c r="I26" s="38" t="n">
        <x:v>0.79</x:v>
      </x:c>
      <x:c r="J26" s="38" t="n">
        <x:v>0.9</x:v>
      </x:c>
      <x:c r="K26" s="38" t="n">
        <x:v>5</x:v>
      </x:c>
      <x:c r="L26" s="38" t="n">
        <x:v>0.11</x:v>
      </x:c>
      <x:c r="M26" s="38" t="n">
        <x:f>MIN(0.95,H26*(0.6+0.4*I26)*(0.75+0.25*J26)*(1-0.08*(K26-1))*(1-0.12*L26))</x:f>
        <x:v>0.29964576719999997</x:v>
      </x:c>
      <x:c r="N26" s="38" t="n">
        <x:f>1-(1-M26)^G26</x:f>
        <x:v>0.7594136235601485</x:v>
      </x:c>
      <x:c r="O26" s="36" t="str">
        <x:v>部分/未成功</x:v>
      </x:c>
      <x:c r="P26" s="36" t="str">
        <x:v>重大</x:v>
      </x:c>
      <x:c r="Q26" s="36" t="str">
        <x:v>所有效能與結果均為合成；不得對應真實系統</x:v>
      </x:c>
    </x:row>
    <x:row r="27">
      <x:c r="A27" s="36" t="str">
        <x:v>ENG-024</x:v>
      </x:c>
      <x:c r="B27" s="36" t="n">
        <x:v>12</x:v>
      </x:c>
      <x:c r="C27" s="36" t="str">
        <x:v>BLUE</x:v>
      </x:c>
      <x:c r="D27" s="36" t="str">
        <x:v>RED</x:v>
      </x:c>
      <x:c r="E27" s="36" t="str">
        <x:v>Z-E</x:v>
      </x:c>
      <x:c r="F27" s="36" t="n">
        <x:v>2</x:v>
      </x:c>
      <x:c r="G27" s="36" t="n">
        <x:v>4</x:v>
      </x:c>
      <x:c r="H27" s="38" t="n">
        <x:v>0.54</x:v>
      </x:c>
      <x:c r="I27" s="38" t="n">
        <x:v>0.94</x:v>
      </x:c>
      <x:c r="J27" s="38" t="n">
        <x:v>0.68</x:v>
      </x:c>
      <x:c r="K27" s="38" t="n">
        <x:v>4</x:v>
      </x:c>
      <x:c r="L27" s="38" t="n">
        <x:v>0.2</x:v>
      </x:c>
      <x:c r="M27" s="38" t="n">
        <x:f>MIN(0.95,H27*(0.6+0.4*I27)*(0.75+0.25*J27)*(1-0.08*(K27-1))*(1-0.12*L27))</x:f>
        <x:v>0.359662215168</x:v>
      </x:c>
      <x:c r="N27" s="38" t="n">
        <x:f>1-(1-M27)^G27</x:f>
        <x:v>0.8318733664246218</x:v>
      </x:c>
      <x:c r="O27" s="36" t="str">
        <x:v>防護成功</x:v>
      </x:c>
      <x:c r="P27" s="36" t="str">
        <x:v>中等</x:v>
      </x:c>
      <x:c r="Q27" s="36" t="str">
        <x:v>所有效能與結果均為合成；不得對應真實系統</x:v>
      </x:c>
    </x:row>
  </x:sheetData>
  <x:mergeCells>
    <x:mergeCell ref="A1:Q1"/>
  </x:mergeCells>
  <x:conditionalFormatting sqref="M4:N27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{4674307C-A80D-040D-CF3A-ABBF83E01AF2}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cfd8db7de7c42a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74307C-A80D-040D-CF3A-ABBF83E01AF2}">
            <x14:dataBar gradient="1">
              <x14:cfvo type="min"/>
              <x14:cfvo type="max"/>
              <x14:fillColor rgb="FFE97132"/>
            </x14:dataBar>
          </x14:cfRule>
          <xm:sqref>M4:N27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2" hidden="0" customWidth="1"/>
    <x:col min="5" max="5" width="20" hidden="0" customWidth="1"/>
    <x:col min="6" max="6" width="18" hidden="0" customWidth="1"/>
    <x:col min="7" max="7" width="16" hidden="0" customWidth="1"/>
    <x:col min="8" max="8" width="14" hidden="0" customWidth="1"/>
    <x:col min="9" max="9" width="18" hidden="0" customWidth="1"/>
    <x:col min="10" max="10" width="20" hidden="0" customWidth="1"/>
    <x:col min="11" max="11" width="18" hidden="0" customWidth="1"/>
    <x:col min="12" max="12" width="16" hidden="0" customWidth="1"/>
    <x:col min="13" max="13" width="38" hidden="0" customWidth="1"/>
  </x:cols>
  <x:sheetData>
    <x:row r="1" ht="30" customHeight="1">
      <x:c r="A1" s="5" t="str">
        <x:v>合成損耗與恢復紀錄</x:v>
      </x:c>
    </x:row>
    <x:row r="3">
      <x:c r="A3" s="14" t="str">
        <x:v>attrition_id</x:v>
      </x:c>
      <x:c r="B3" s="14" t="str">
        <x:v>turn</x:v>
      </x:c>
      <x:c r="C3" s="14" t="str">
        <x:v>package_id</x:v>
      </x:c>
      <x:c r="D3" s="14" t="str">
        <x:v>actor_id</x:v>
      </x:c>
      <x:c r="E3" s="14" t="str">
        <x:v>cause</x:v>
      </x:c>
      <x:c r="F3" s="14" t="str">
        <x:v>readiness_before</x:v>
      </x:c>
      <x:c r="G3" s="14" t="str">
        <x:v>readiness_loss</x:v>
      </x:c>
      <x:c r="H3" s="14" t="str">
        <x:v>repair_gain</x:v>
      </x:c>
      <x:c r="I3" s="14" t="str">
        <x:v>readiness_after</x:v>
      </x:c>
      <x:c r="J3" s="14" t="str">
        <x:v>ammo_change_index</x:v>
      </x:c>
      <x:c r="K3" s="14" t="str">
        <x:v>fuel_change_index</x:v>
      </x:c>
      <x:c r="L3" s="14" t="str">
        <x:v>damage_level</x:v>
      </x:c>
      <x:c r="M3" s="14" t="str">
        <x:v>note</x:v>
      </x:c>
    </x:row>
    <x:row r="4">
      <x:c r="A4" s="36" t="str">
        <x:v>ATR-001</x:v>
      </x:c>
      <x:c r="B4" s="36" t="n">
        <x:v>1</x:v>
      </x:c>
      <x:c r="C4" s="36" t="str">
        <x:v>R-NAV-02</x:v>
      </x:c>
      <x:c r="D4" s="36" t="str">
        <x:v>RED</x:v>
      </x:c>
      <x:c r="E4" s="36" t="str">
        <x:v>維修延誤</x:v>
      </x:c>
      <x:c r="F4" s="36" t="n">
        <x:v>60</x:v>
      </x:c>
      <x:c r="G4" s="36" t="n">
        <x:v>8</x:v>
      </x:c>
      <x:c r="H4" s="36" t="n">
        <x:v>2</x:v>
      </x:c>
      <x:c r="I4" s="36" t="n">
        <x:v>54</x:v>
      </x:c>
      <x:c r="J4" s="36" t="n">
        <x:v>-2</x:v>
      </x:c>
      <x:c r="K4" s="36" t="n">
        <x:v>-10</x:v>
      </x:c>
      <x:c r="L4" s="36" t="str">
        <x:v>無</x:v>
      </x:c>
      <x:c r="M4" s="36" t="str">
        <x:v>合成損耗/恢復紀錄</x:v>
      </x:c>
    </x:row>
    <x:row r="5">
      <x:c r="A5" s="36" t="str">
        <x:v>ATR-002</x:v>
      </x:c>
      <x:c r="B5" s="36" t="n">
        <x:v>1</x:v>
      </x:c>
      <x:c r="C5" s="36" t="str">
        <x:v>B-C2-01</x:v>
      </x:c>
      <x:c r="D5" s="36" t="str">
        <x:v>BLUE</x:v>
      </x:c>
      <x:c r="E5" s="36" t="str">
        <x:v>事件損害</x:v>
      </x:c>
      <x:c r="F5" s="36" t="n">
        <x:v>67</x:v>
      </x:c>
      <x:c r="G5" s="36" t="n">
        <x:v>5</x:v>
      </x:c>
      <x:c r="H5" s="36" t="n">
        <x:v>0</x:v>
      </x:c>
      <x:c r="I5" s="36" t="n">
        <x:v>62</x:v>
      </x:c>
      <x:c r="J5" s="36" t="n">
        <x:v>-2</x:v>
      </x:c>
      <x:c r="K5" s="36" t="n">
        <x:v>-2</x:v>
      </x:c>
      <x:c r="L5" s="36" t="str">
        <x:v>無</x:v>
      </x:c>
      <x:c r="M5" s="36" t="str">
        <x:v>合成損耗/恢復紀錄</x:v>
      </x:c>
    </x:row>
    <x:row r="6">
      <x:c r="A6" s="36" t="str">
        <x:v>ATR-003</x:v>
      </x:c>
      <x:c r="B6" s="36" t="n">
        <x:v>1</x:v>
      </x:c>
      <x:c r="C6" s="36" t="str">
        <x:v>A-LOG-01</x:v>
      </x:c>
      <x:c r="D6" s="36" t="str">
        <x:v>AMBER</x:v>
      </x:c>
      <x:c r="E6" s="36" t="str">
        <x:v>維修延誤</x:v>
      </x:c>
      <x:c r="F6" s="36" t="n">
        <x:v>65</x:v>
      </x:c>
      <x:c r="G6" s="36" t="n">
        <x:v>12</x:v>
      </x:c>
      <x:c r="H6" s="36" t="n">
        <x:v>0</x:v>
      </x:c>
      <x:c r="I6" s="36" t="n">
        <x:v>53</x:v>
      </x:c>
      <x:c r="J6" s="36" t="n">
        <x:v>0</x:v>
      </x:c>
      <x:c r="K6" s="36" t="n">
        <x:v>-10</x:v>
      </x:c>
      <x:c r="L6" s="36" t="str">
        <x:v>中等</x:v>
      </x:c>
      <x:c r="M6" s="36" t="str">
        <x:v>合成損耗/恢復紀錄</x:v>
      </x:c>
    </x:row>
    <x:row r="7">
      <x:c r="A7" s="36" t="str">
        <x:v>ATR-004</x:v>
      </x:c>
      <x:c r="B7" s="36" t="n">
        <x:v>2</x:v>
      </x:c>
      <x:c r="C7" s="36" t="str">
        <x:v>A-ISR-01</x:v>
      </x:c>
      <x:c r="D7" s="36" t="str">
        <x:v>AMBER</x:v>
      </x:c>
      <x:c r="E7" s="36" t="str">
        <x:v>任務消耗</x:v>
      </x:c>
      <x:c r="F7" s="36" t="n">
        <x:v>58</x:v>
      </x:c>
      <x:c r="G7" s="36" t="n">
        <x:v>4</x:v>
      </x:c>
      <x:c r="H7" s="36" t="n">
        <x:v>7</x:v>
      </x:c>
      <x:c r="I7" s="36" t="n">
        <x:v>61</x:v>
      </x:c>
      <x:c r="J7" s="36" t="n">
        <x:v>-2</x:v>
      </x:c>
      <x:c r="K7" s="36" t="n">
        <x:v>-12</x:v>
      </x:c>
      <x:c r="L7" s="36" t="str">
        <x:v>無</x:v>
      </x:c>
      <x:c r="M7" s="36" t="str">
        <x:v>合成損耗/恢復紀錄</x:v>
      </x:c>
    </x:row>
    <x:row r="8">
      <x:c r="A8" s="36" t="str">
        <x:v>ATR-005</x:v>
      </x:c>
      <x:c r="B8" s="36" t="n">
        <x:v>2</x:v>
      </x:c>
      <x:c r="C8" s="36" t="str">
        <x:v>A-NAV-01</x:v>
      </x:c>
      <x:c r="D8" s="36" t="str">
        <x:v>AMBER</x:v>
      </x:c>
      <x:c r="E8" s="36" t="str">
        <x:v>電磁干擾</x:v>
      </x:c>
      <x:c r="F8" s="36" t="n">
        <x:v>75</x:v>
      </x:c>
      <x:c r="G8" s="36" t="n">
        <x:v>5</x:v>
      </x:c>
      <x:c r="H8" s="36" t="n">
        <x:v>7</x:v>
      </x:c>
      <x:c r="I8" s="36" t="n">
        <x:v>77</x:v>
      </x:c>
      <x:c r="J8" s="36" t="n">
        <x:v>-6</x:v>
      </x:c>
      <x:c r="K8" s="36" t="n">
        <x:v>-10</x:v>
      </x:c>
      <x:c r="L8" s="36" t="str">
        <x:v>無</x:v>
      </x:c>
      <x:c r="M8" s="36" t="str">
        <x:v>合成損耗/恢復紀錄</x:v>
      </x:c>
    </x:row>
    <x:row r="9">
      <x:c r="A9" s="36" t="str">
        <x:v>ATR-006</x:v>
      </x:c>
      <x:c r="B9" s="36" t="n">
        <x:v>2</x:v>
      </x:c>
      <x:c r="C9" s="36" t="str">
        <x:v>R-EW-01</x:v>
      </x:c>
      <x:c r="D9" s="36" t="str">
        <x:v>RED</x:v>
      </x:c>
      <x:c r="E9" s="36" t="str">
        <x:v>維修延誤</x:v>
      </x:c>
      <x:c r="F9" s="36" t="n">
        <x:v>59</x:v>
      </x:c>
      <x:c r="G9" s="36" t="n">
        <x:v>12</x:v>
      </x:c>
      <x:c r="H9" s="36" t="n">
        <x:v>5</x:v>
      </x:c>
      <x:c r="I9" s="36" t="n">
        <x:v>52</x:v>
      </x:c>
      <x:c r="J9" s="36" t="n">
        <x:v>-8</x:v>
      </x:c>
      <x:c r="K9" s="36" t="n">
        <x:v>-10</x:v>
      </x:c>
      <x:c r="L9" s="36" t="str">
        <x:v>無</x:v>
      </x:c>
      <x:c r="M9" s="36" t="str">
        <x:v>合成損耗/恢復紀錄</x:v>
      </x:c>
    </x:row>
    <x:row r="10">
      <x:c r="A10" s="36" t="str">
        <x:v>ATR-007</x:v>
      </x:c>
      <x:c r="B10" s="36" t="n">
        <x:v>3</x:v>
      </x:c>
      <x:c r="C10" s="36" t="str">
        <x:v>R-STR-01</x:v>
      </x:c>
      <x:c r="D10" s="36" t="str">
        <x:v>RED</x:v>
      </x:c>
      <x:c r="E10" s="36" t="str">
        <x:v>海象影響</x:v>
      </x:c>
      <x:c r="F10" s="36" t="n">
        <x:v>61</x:v>
      </x:c>
      <x:c r="G10" s="36" t="n">
        <x:v>1</x:v>
      </x:c>
      <x:c r="H10" s="36" t="n">
        <x:v>3</x:v>
      </x:c>
      <x:c r="I10" s="36" t="n">
        <x:v>63</x:v>
      </x:c>
      <x:c r="J10" s="36" t="n">
        <x:v>-12</x:v>
      </x:c>
      <x:c r="K10" s="36" t="n">
        <x:v>-3</x:v>
      </x:c>
      <x:c r="L10" s="36" t="str">
        <x:v>輕微</x:v>
      </x:c>
      <x:c r="M10" s="36" t="str">
        <x:v>合成損耗/恢復紀錄</x:v>
      </x:c>
    </x:row>
    <x:row r="11">
      <x:c r="A11" s="36" t="str">
        <x:v>ATR-008</x:v>
      </x:c>
      <x:c r="B11" s="36" t="n">
        <x:v>3</x:v>
      </x:c>
      <x:c r="C11" s="36" t="str">
        <x:v>R-AIR-01</x:v>
      </x:c>
      <x:c r="D11" s="36" t="str">
        <x:v>RED</x:v>
      </x:c>
      <x:c r="E11" s="36" t="str">
        <x:v>任務消耗</x:v>
      </x:c>
      <x:c r="F11" s="36" t="n">
        <x:v>71</x:v>
      </x:c>
      <x:c r="G11" s="36" t="n">
        <x:v>4</x:v>
      </x:c>
      <x:c r="H11" s="36" t="n">
        <x:v>6</x:v>
      </x:c>
      <x:c r="I11" s="36" t="n">
        <x:v>73</x:v>
      </x:c>
      <x:c r="J11" s="36" t="n">
        <x:v>-3</x:v>
      </x:c>
      <x:c r="K11" s="36" t="n">
        <x:v>-8</x:v>
      </x:c>
      <x:c r="L11" s="36" t="str">
        <x:v>中等</x:v>
      </x:c>
      <x:c r="M11" s="36" t="str">
        <x:v>合成損耗/恢復紀錄</x:v>
      </x:c>
    </x:row>
    <x:row r="12">
      <x:c r="A12" s="36" t="str">
        <x:v>ATR-009</x:v>
      </x:c>
      <x:c r="B12" s="36" t="n">
        <x:v>3</x:v>
      </x:c>
      <x:c r="C12" s="36" t="str">
        <x:v>R-C2-01</x:v>
      </x:c>
      <x:c r="D12" s="36" t="str">
        <x:v>RED</x:v>
      </x:c>
      <x:c r="E12" s="36" t="str">
        <x:v>任務消耗</x:v>
      </x:c>
      <x:c r="F12" s="36" t="n">
        <x:v>65</x:v>
      </x:c>
      <x:c r="G12" s="36" t="n">
        <x:v>10</x:v>
      </x:c>
      <x:c r="H12" s="36" t="n">
        <x:v>4</x:v>
      </x:c>
      <x:c r="I12" s="36" t="n">
        <x:v>59</x:v>
      </x:c>
      <x:c r="J12" s="36" t="n">
        <x:v>-1</x:v>
      </x:c>
      <x:c r="K12" s="36" t="n">
        <x:v>-7</x:v>
      </x:c>
      <x:c r="L12" s="36" t="str">
        <x:v>中等</x:v>
      </x:c>
      <x:c r="M12" s="36" t="str">
        <x:v>合成損耗/恢復紀錄</x:v>
      </x:c>
    </x:row>
    <x:row r="13">
      <x:c r="A13" s="36" t="str">
        <x:v>ATR-010</x:v>
      </x:c>
      <x:c r="B13" s="36" t="n">
        <x:v>4</x:v>
      </x:c>
      <x:c r="C13" s="36" t="str">
        <x:v>A-CYB-01</x:v>
      </x:c>
      <x:c r="D13" s="36" t="str">
        <x:v>AMBER</x:v>
      </x:c>
      <x:c r="E13" s="36" t="str">
        <x:v>事件損害</x:v>
      </x:c>
      <x:c r="F13" s="36" t="n">
        <x:v>59</x:v>
      </x:c>
      <x:c r="G13" s="36" t="n">
        <x:v>6</x:v>
      </x:c>
      <x:c r="H13" s="36" t="n">
        <x:v>6</x:v>
      </x:c>
      <x:c r="I13" s="36" t="n">
        <x:v>59</x:v>
      </x:c>
      <x:c r="J13" s="36" t="n">
        <x:v>0</x:v>
      </x:c>
      <x:c r="K13" s="36" t="n">
        <x:v>-7</x:v>
      </x:c>
      <x:c r="L13" s="36" t="str">
        <x:v>無</x:v>
      </x:c>
      <x:c r="M13" s="36" t="str">
        <x:v>合成損耗/恢復紀錄</x:v>
      </x:c>
    </x:row>
    <x:row r="14">
      <x:c r="A14" s="36" t="str">
        <x:v>ATR-011</x:v>
      </x:c>
      <x:c r="B14" s="36" t="n">
        <x:v>4</x:v>
      </x:c>
      <x:c r="C14" s="36" t="str">
        <x:v>R-NAV-01</x:v>
      </x:c>
      <x:c r="D14" s="36" t="str">
        <x:v>RED</x:v>
      </x:c>
      <x:c r="E14" s="36" t="str">
        <x:v>人員疲勞</x:v>
      </x:c>
      <x:c r="F14" s="36" t="n">
        <x:v>68</x:v>
      </x:c>
      <x:c r="G14" s="36" t="n">
        <x:v>8</x:v>
      </x:c>
      <x:c r="H14" s="36" t="n">
        <x:v>6</x:v>
      </x:c>
      <x:c r="I14" s="36" t="n">
        <x:v>66</x:v>
      </x:c>
      <x:c r="J14" s="36" t="n">
        <x:v>-14</x:v>
      </x:c>
      <x:c r="K14" s="36" t="n">
        <x:v>-8</x:v>
      </x:c>
      <x:c r="L14" s="36" t="str">
        <x:v>中等</x:v>
      </x:c>
      <x:c r="M14" s="36" t="str">
        <x:v>合成損耗/恢復紀錄</x:v>
      </x:c>
    </x:row>
    <x:row r="15">
      <x:c r="A15" s="36" t="str">
        <x:v>ATR-012</x:v>
      </x:c>
      <x:c r="B15" s="36" t="n">
        <x:v>4</x:v>
      </x:c>
      <x:c r="C15" s="36" t="str">
        <x:v>R-AIR-01</x:v>
      </x:c>
      <x:c r="D15" s="36" t="str">
        <x:v>RED</x:v>
      </x:c>
      <x:c r="E15" s="36" t="str">
        <x:v>任務消耗</x:v>
      </x:c>
      <x:c r="F15" s="36" t="n">
        <x:v>69</x:v>
      </x:c>
      <x:c r="G15" s="36" t="n">
        <x:v>7</x:v>
      </x:c>
      <x:c r="H15" s="36" t="n">
        <x:v>3</x:v>
      </x:c>
      <x:c r="I15" s="36" t="n">
        <x:v>65</x:v>
      </x:c>
      <x:c r="J15" s="36" t="n">
        <x:v>-5</x:v>
      </x:c>
      <x:c r="K15" s="36" t="n">
        <x:v>-5</x:v>
      </x:c>
      <x:c r="L15" s="36" t="str">
        <x:v>中等</x:v>
      </x:c>
      <x:c r="M15" s="36" t="str">
        <x:v>合成損耗/恢復紀錄</x:v>
      </x:c>
    </x:row>
    <x:row r="16">
      <x:c r="A16" s="36" t="str">
        <x:v>ATR-013</x:v>
      </x:c>
      <x:c r="B16" s="36" t="n">
        <x:v>5</x:v>
      </x:c>
      <x:c r="C16" s="36" t="str">
        <x:v>R-AIR-02</x:v>
      </x:c>
      <x:c r="D16" s="36" t="str">
        <x:v>RED</x:v>
      </x:c>
      <x:c r="E16" s="36" t="str">
        <x:v>維修延誤</x:v>
      </x:c>
      <x:c r="F16" s="36" t="n">
        <x:v>87</x:v>
      </x:c>
      <x:c r="G16" s="36" t="n">
        <x:v>11</x:v>
      </x:c>
      <x:c r="H16" s="36" t="n">
        <x:v>4</x:v>
      </x:c>
      <x:c r="I16" s="36" t="n">
        <x:v>80</x:v>
      </x:c>
      <x:c r="J16" s="36" t="n">
        <x:v>-8</x:v>
      </x:c>
      <x:c r="K16" s="36" t="n">
        <x:v>-10</x:v>
      </x:c>
      <x:c r="L16" s="36" t="str">
        <x:v>輕微</x:v>
      </x:c>
      <x:c r="M16" s="36" t="str">
        <x:v>合成損耗/恢復紀錄</x:v>
      </x:c>
    </x:row>
    <x:row r="17">
      <x:c r="A17" s="36" t="str">
        <x:v>ATR-014</x:v>
      </x:c>
      <x:c r="B17" s="36" t="n">
        <x:v>5</x:v>
      </x:c>
      <x:c r="C17" s="36" t="str">
        <x:v>B-AD-02</x:v>
      </x:c>
      <x:c r="D17" s="36" t="str">
        <x:v>BLUE</x:v>
      </x:c>
      <x:c r="E17" s="36" t="str">
        <x:v>電磁干擾</x:v>
      </x:c>
      <x:c r="F17" s="36" t="n">
        <x:v>60</x:v>
      </x:c>
      <x:c r="G17" s="36" t="n">
        <x:v>2</x:v>
      </x:c>
      <x:c r="H17" s="36" t="n">
        <x:v>2</x:v>
      </x:c>
      <x:c r="I17" s="36" t="n">
        <x:v>60</x:v>
      </x:c>
      <x:c r="J17" s="36" t="n">
        <x:v>-13</x:v>
      </x:c>
      <x:c r="K17" s="36" t="n">
        <x:v>-6</x:v>
      </x:c>
      <x:c r="L17" s="36" t="str">
        <x:v>無</x:v>
      </x:c>
      <x:c r="M17" s="36" t="str">
        <x:v>合成損耗/恢復紀錄</x:v>
      </x:c>
    </x:row>
    <x:row r="18">
      <x:c r="A18" s="36" t="str">
        <x:v>ATR-015</x:v>
      </x:c>
      <x:c r="B18" s="36" t="n">
        <x:v>5</x:v>
      </x:c>
      <x:c r="C18" s="36" t="str">
        <x:v>R-STR-01</x:v>
      </x:c>
      <x:c r="D18" s="36" t="str">
        <x:v>RED</x:v>
      </x:c>
      <x:c r="E18" s="36" t="str">
        <x:v>任務消耗</x:v>
      </x:c>
      <x:c r="F18" s="36" t="n">
        <x:v>89</x:v>
      </x:c>
      <x:c r="G18" s="36" t="n">
        <x:v>9</x:v>
      </x:c>
      <x:c r="H18" s="36" t="n">
        <x:v>1</x:v>
      </x:c>
      <x:c r="I18" s="36" t="n">
        <x:v>81</x:v>
      </x:c>
      <x:c r="J18" s="36" t="n">
        <x:v>-3</x:v>
      </x:c>
      <x:c r="K18" s="36" t="n">
        <x:v>-11</x:v>
      </x:c>
      <x:c r="L18" s="36" t="str">
        <x:v>輕微</x:v>
      </x:c>
      <x:c r="M18" s="36" t="str">
        <x:v>合成損耗/恢復紀錄</x:v>
      </x:c>
    </x:row>
    <x:row r="19">
      <x:c r="A19" s="36" t="str">
        <x:v>ATR-016</x:v>
      </x:c>
      <x:c r="B19" s="36" t="n">
        <x:v>6</x:v>
      </x:c>
      <x:c r="C19" s="36" t="str">
        <x:v>R-EW-01</x:v>
      </x:c>
      <x:c r="D19" s="36" t="str">
        <x:v>RED</x:v>
      </x:c>
      <x:c r="E19" s="36" t="str">
        <x:v>任務消耗</x:v>
      </x:c>
      <x:c r="F19" s="36" t="n">
        <x:v>74</x:v>
      </x:c>
      <x:c r="G19" s="36" t="n">
        <x:v>5</x:v>
      </x:c>
      <x:c r="H19" s="36" t="n">
        <x:v>1</x:v>
      </x:c>
      <x:c r="I19" s="36" t="n">
        <x:v>70</x:v>
      </x:c>
      <x:c r="J19" s="36" t="n">
        <x:v>-12</x:v>
      </x:c>
      <x:c r="K19" s="36" t="n">
        <x:v>-10</x:v>
      </x:c>
      <x:c r="L19" s="36" t="str">
        <x:v>無</x:v>
      </x:c>
      <x:c r="M19" s="36" t="str">
        <x:v>合成損耗/恢復紀錄</x:v>
      </x:c>
    </x:row>
    <x:row r="20">
      <x:c r="A20" s="36" t="str">
        <x:v>ATR-017</x:v>
      </x:c>
      <x:c r="B20" s="36" t="n">
        <x:v>6</x:v>
      </x:c>
      <x:c r="C20" s="36" t="str">
        <x:v>R-AIR-02</x:v>
      </x:c>
      <x:c r="D20" s="36" t="str">
        <x:v>RED</x:v>
      </x:c>
      <x:c r="E20" s="36" t="str">
        <x:v>海象影響</x:v>
      </x:c>
      <x:c r="F20" s="36" t="n">
        <x:v>64</x:v>
      </x:c>
      <x:c r="G20" s="36" t="n">
        <x:v>8</x:v>
      </x:c>
      <x:c r="H20" s="36" t="n">
        <x:v>3</x:v>
      </x:c>
      <x:c r="I20" s="36" t="n">
        <x:v>59</x:v>
      </x:c>
      <x:c r="J20" s="36" t="n">
        <x:v>-1</x:v>
      </x:c>
      <x:c r="K20" s="36" t="n">
        <x:v>-12</x:v>
      </x:c>
      <x:c r="L20" s="36" t="str">
        <x:v>中等</x:v>
      </x:c>
      <x:c r="M20" s="36" t="str">
        <x:v>合成損耗/恢復紀錄</x:v>
      </x:c>
    </x:row>
    <x:row r="21">
      <x:c r="A21" s="36" t="str">
        <x:v>ATR-018</x:v>
      </x:c>
      <x:c r="B21" s="36" t="n">
        <x:v>6</x:v>
      </x:c>
      <x:c r="C21" s="36" t="str">
        <x:v>R-AIR-02</x:v>
      </x:c>
      <x:c r="D21" s="36" t="str">
        <x:v>RED</x:v>
      </x:c>
      <x:c r="E21" s="36" t="str">
        <x:v>人員疲勞</x:v>
      </x:c>
      <x:c r="F21" s="36" t="n">
        <x:v>89</x:v>
      </x:c>
      <x:c r="G21" s="36" t="n">
        <x:v>6</x:v>
      </x:c>
      <x:c r="H21" s="36" t="n">
        <x:v>0</x:v>
      </x:c>
      <x:c r="I21" s="36" t="n">
        <x:v>83</x:v>
      </x:c>
      <x:c r="J21" s="36" t="n">
        <x:v>-8</x:v>
      </x:c>
      <x:c r="K21" s="36" t="n">
        <x:v>-12</x:v>
      </x:c>
      <x:c r="L21" s="36" t="str">
        <x:v>無</x:v>
      </x:c>
      <x:c r="M21" s="36" t="str">
        <x:v>合成損耗/恢復紀錄</x:v>
      </x:c>
    </x:row>
    <x:row r="22">
      <x:c r="A22" s="36" t="str">
        <x:v>ATR-019</x:v>
      </x:c>
      <x:c r="B22" s="36" t="n">
        <x:v>7</x:v>
      </x:c>
      <x:c r="C22" s="36" t="str">
        <x:v>B-AD-02</x:v>
      </x:c>
      <x:c r="D22" s="36" t="str">
        <x:v>BLUE</x:v>
      </x:c>
      <x:c r="E22" s="36" t="str">
        <x:v>人員疲勞</x:v>
      </x:c>
      <x:c r="F22" s="36" t="n">
        <x:v>79</x:v>
      </x:c>
      <x:c r="G22" s="36" t="n">
        <x:v>5</x:v>
      </x:c>
      <x:c r="H22" s="36" t="n">
        <x:v>2</x:v>
      </x:c>
      <x:c r="I22" s="36" t="n">
        <x:v>76</x:v>
      </x:c>
      <x:c r="J22" s="36" t="n">
        <x:v>-3</x:v>
      </x:c>
      <x:c r="K22" s="36" t="n">
        <x:v>-5</x:v>
      </x:c>
      <x:c r="L22" s="36" t="str">
        <x:v>無</x:v>
      </x:c>
      <x:c r="M22" s="36" t="str">
        <x:v>合成損耗/恢復紀錄</x:v>
      </x:c>
    </x:row>
    <x:row r="23">
      <x:c r="A23" s="36" t="str">
        <x:v>ATR-020</x:v>
      </x:c>
      <x:c r="B23" s="36" t="n">
        <x:v>7</x:v>
      </x:c>
      <x:c r="C23" s="36" t="str">
        <x:v>W-CIV-01</x:v>
      </x:c>
      <x:c r="D23" s="36" t="str">
        <x:v>WHITE</x:v>
      </x:c>
      <x:c r="E23" s="36" t="str">
        <x:v>任務消耗</x:v>
      </x:c>
      <x:c r="F23" s="36" t="n">
        <x:v>72</x:v>
      </x:c>
      <x:c r="G23" s="36" t="n">
        <x:v>8</x:v>
      </x:c>
      <x:c r="H23" s="36" t="n">
        <x:v>3</x:v>
      </x:c>
      <x:c r="I23" s="36" t="n">
        <x:v>67</x:v>
      </x:c>
      <x:c r="J23" s="36" t="n">
        <x:v>-3</x:v>
      </x:c>
      <x:c r="K23" s="36" t="n">
        <x:v>-2</x:v>
      </x:c>
      <x:c r="L23" s="36" t="str">
        <x:v>無</x:v>
      </x:c>
      <x:c r="M23" s="36" t="str">
        <x:v>合成損耗/恢復紀錄</x:v>
      </x:c>
    </x:row>
    <x:row r="24">
      <x:c r="A24" s="36" t="str">
        <x:v>ATR-021</x:v>
      </x:c>
      <x:c r="B24" s="36" t="n">
        <x:v>7</x:v>
      </x:c>
      <x:c r="C24" s="36" t="str">
        <x:v>W-CIV-01</x:v>
      </x:c>
      <x:c r="D24" s="36" t="str">
        <x:v>WHITE</x:v>
      </x:c>
      <x:c r="E24" s="36" t="str">
        <x:v>電磁干擾</x:v>
      </x:c>
      <x:c r="F24" s="36" t="n">
        <x:v>70</x:v>
      </x:c>
      <x:c r="G24" s="36" t="n">
        <x:v>7</x:v>
      </x:c>
      <x:c r="H24" s="36" t="n">
        <x:v>1</x:v>
      </x:c>
      <x:c r="I24" s="36" t="n">
        <x:v>64</x:v>
      </x:c>
      <x:c r="J24" s="36" t="n">
        <x:v>0</x:v>
      </x:c>
      <x:c r="K24" s="36" t="n">
        <x:v>-2</x:v>
      </x:c>
      <x:c r="L24" s="36" t="str">
        <x:v>輕微</x:v>
      </x:c>
      <x:c r="M24" s="36" t="str">
        <x:v>合成損耗/恢復紀錄</x:v>
      </x:c>
    </x:row>
    <x:row r="25">
      <x:c r="A25" s="36" t="str">
        <x:v>ATR-022</x:v>
      </x:c>
      <x:c r="B25" s="36" t="n">
        <x:v>8</x:v>
      </x:c>
      <x:c r="C25" s="36" t="str">
        <x:v>R-AIR-02</x:v>
      </x:c>
      <x:c r="D25" s="36" t="str">
        <x:v>RED</x:v>
      </x:c>
      <x:c r="E25" s="36" t="str">
        <x:v>海象影響</x:v>
      </x:c>
      <x:c r="F25" s="36" t="n">
        <x:v>69</x:v>
      </x:c>
      <x:c r="G25" s="36" t="n">
        <x:v>10</x:v>
      </x:c>
      <x:c r="H25" s="36" t="n">
        <x:v>6</x:v>
      </x:c>
      <x:c r="I25" s="36" t="n">
        <x:v>65</x:v>
      </x:c>
      <x:c r="J25" s="36" t="n">
        <x:v>-11</x:v>
      </x:c>
      <x:c r="K25" s="36" t="n">
        <x:v>-6</x:v>
      </x:c>
      <x:c r="L25" s="36" t="str">
        <x:v>輕微</x:v>
      </x:c>
      <x:c r="M25" s="36" t="str">
        <x:v>合成損耗/恢復紀錄</x:v>
      </x:c>
    </x:row>
    <x:row r="26">
      <x:c r="A26" s="36" t="str">
        <x:v>ATR-023</x:v>
      </x:c>
      <x:c r="B26" s="36" t="n">
        <x:v>8</x:v>
      </x:c>
      <x:c r="C26" s="36" t="str">
        <x:v>R-C2-01</x:v>
      </x:c>
      <x:c r="D26" s="36" t="str">
        <x:v>RED</x:v>
      </x:c>
      <x:c r="E26" s="36" t="str">
        <x:v>維修延誤</x:v>
      </x:c>
      <x:c r="F26" s="36" t="n">
        <x:v>89</x:v>
      </x:c>
      <x:c r="G26" s="36" t="n">
        <x:v>7</x:v>
      </x:c>
      <x:c r="H26" s="36" t="n">
        <x:v>0</x:v>
      </x:c>
      <x:c r="I26" s="36" t="n">
        <x:v>82</x:v>
      </x:c>
      <x:c r="J26" s="36" t="n">
        <x:v>-3</x:v>
      </x:c>
      <x:c r="K26" s="36" t="n">
        <x:v>-9</x:v>
      </x:c>
      <x:c r="L26" s="36" t="str">
        <x:v>無</x:v>
      </x:c>
      <x:c r="M26" s="36" t="str">
        <x:v>合成損耗/恢復紀錄</x:v>
      </x:c>
    </x:row>
    <x:row r="27">
      <x:c r="A27" s="36" t="str">
        <x:v>ATR-024</x:v>
      </x:c>
      <x:c r="B27" s="36" t="n">
        <x:v>8</x:v>
      </x:c>
      <x:c r="C27" s="36" t="str">
        <x:v>B-AD-01</x:v>
      </x:c>
      <x:c r="D27" s="36" t="str">
        <x:v>BLUE</x:v>
      </x:c>
      <x:c r="E27" s="36" t="str">
        <x:v>任務消耗</x:v>
      </x:c>
      <x:c r="F27" s="36" t="n">
        <x:v>58</x:v>
      </x:c>
      <x:c r="G27" s="36" t="n">
        <x:v>9</x:v>
      </x:c>
      <x:c r="H27" s="36" t="n">
        <x:v>6</x:v>
      </x:c>
      <x:c r="I27" s="36" t="n">
        <x:v>55</x:v>
      </x:c>
      <x:c r="J27" s="36" t="n">
        <x:v>-4</x:v>
      </x:c>
      <x:c r="K27" s="36" t="n">
        <x:v>-10</x:v>
      </x:c>
      <x:c r="L27" s="36" t="str">
        <x:v>輕微</x:v>
      </x:c>
      <x:c r="M27" s="36" t="str">
        <x:v>合成損耗/恢復紀錄</x:v>
      </x:c>
    </x:row>
    <x:row r="28">
      <x:c r="A28" s="36" t="str">
        <x:v>ATR-025</x:v>
      </x:c>
      <x:c r="B28" s="36" t="n">
        <x:v>9</x:v>
      </x:c>
      <x:c r="C28" s="36" t="str">
        <x:v>R-EW-01</x:v>
      </x:c>
      <x:c r="D28" s="36" t="str">
        <x:v>RED</x:v>
      </x:c>
      <x:c r="E28" s="36" t="str">
        <x:v>電磁干擾</x:v>
      </x:c>
      <x:c r="F28" s="36" t="n">
        <x:v>58</x:v>
      </x:c>
      <x:c r="G28" s="36" t="n">
        <x:v>7</x:v>
      </x:c>
      <x:c r="H28" s="36" t="n">
        <x:v>7</x:v>
      </x:c>
      <x:c r="I28" s="36" t="n">
        <x:v>58</x:v>
      </x:c>
      <x:c r="J28" s="36" t="n">
        <x:v>-2</x:v>
      </x:c>
      <x:c r="K28" s="36" t="n">
        <x:v>-10</x:v>
      </x:c>
      <x:c r="L28" s="36" t="str">
        <x:v>輕微</x:v>
      </x:c>
      <x:c r="M28" s="36" t="str">
        <x:v>合成損耗/恢復紀錄</x:v>
      </x:c>
    </x:row>
    <x:row r="29">
      <x:c r="A29" s="36" t="str">
        <x:v>ATR-026</x:v>
      </x:c>
      <x:c r="B29" s="36" t="n">
        <x:v>9</x:v>
      </x:c>
      <x:c r="C29" s="36" t="str">
        <x:v>R-NAV-02</x:v>
      </x:c>
      <x:c r="D29" s="36" t="str">
        <x:v>RED</x:v>
      </x:c>
      <x:c r="E29" s="36" t="str">
        <x:v>海象影響</x:v>
      </x:c>
      <x:c r="F29" s="36" t="n">
        <x:v>65</x:v>
      </x:c>
      <x:c r="G29" s="36" t="n">
        <x:v>11</x:v>
      </x:c>
      <x:c r="H29" s="36" t="n">
        <x:v>1</x:v>
      </x:c>
      <x:c r="I29" s="36" t="n">
        <x:v>55</x:v>
      </x:c>
      <x:c r="J29" s="36" t="n">
        <x:v>-9</x:v>
      </x:c>
      <x:c r="K29" s="36" t="n">
        <x:v>-5</x:v>
      </x:c>
      <x:c r="L29" s="36" t="str">
        <x:v>輕微</x:v>
      </x:c>
      <x:c r="M29" s="36" t="str">
        <x:v>合成損耗/恢復紀錄</x:v>
      </x:c>
    </x:row>
    <x:row r="30">
      <x:c r="A30" s="36" t="str">
        <x:v>ATR-027</x:v>
      </x:c>
      <x:c r="B30" s="36" t="n">
        <x:v>9</x:v>
      </x:c>
      <x:c r="C30" s="36" t="str">
        <x:v>B-AD-02</x:v>
      </x:c>
      <x:c r="D30" s="36" t="str">
        <x:v>BLUE</x:v>
      </x:c>
      <x:c r="E30" s="36" t="str">
        <x:v>人員疲勞</x:v>
      </x:c>
      <x:c r="F30" s="36" t="n">
        <x:v>78</x:v>
      </x:c>
      <x:c r="G30" s="36" t="n">
        <x:v>12</x:v>
      </x:c>
      <x:c r="H30" s="36" t="n">
        <x:v>5</x:v>
      </x:c>
      <x:c r="I30" s="36" t="n">
        <x:v>71</x:v>
      </x:c>
      <x:c r="J30" s="36" t="n">
        <x:v>-3</x:v>
      </x:c>
      <x:c r="K30" s="36" t="n">
        <x:v>-9</x:v>
      </x:c>
      <x:c r="L30" s="36" t="str">
        <x:v>中等</x:v>
      </x:c>
      <x:c r="M30" s="36" t="str">
        <x:v>合成損耗/恢復紀錄</x:v>
      </x:c>
    </x:row>
    <x:row r="31">
      <x:c r="A31" s="36" t="str">
        <x:v>ATR-028</x:v>
      </x:c>
      <x:c r="B31" s="36" t="n">
        <x:v>10</x:v>
      </x:c>
      <x:c r="C31" s="36" t="str">
        <x:v>A-ISR-01</x:v>
      </x:c>
      <x:c r="D31" s="36" t="str">
        <x:v>AMBER</x:v>
      </x:c>
      <x:c r="E31" s="36" t="str">
        <x:v>維修延誤</x:v>
      </x:c>
      <x:c r="F31" s="36" t="n">
        <x:v>83</x:v>
      </x:c>
      <x:c r="G31" s="36" t="n">
        <x:v>4</x:v>
      </x:c>
      <x:c r="H31" s="36" t="n">
        <x:v>4</x:v>
      </x:c>
      <x:c r="I31" s="36" t="n">
        <x:v>83</x:v>
      </x:c>
      <x:c r="J31" s="36" t="n">
        <x:v>-1</x:v>
      </x:c>
      <x:c r="K31" s="36" t="n">
        <x:v>-10</x:v>
      </x:c>
      <x:c r="L31" s="36" t="str">
        <x:v>中等</x:v>
      </x:c>
      <x:c r="M31" s="36" t="str">
        <x:v>合成損耗/恢復紀錄</x:v>
      </x:c>
    </x:row>
    <x:row r="32">
      <x:c r="A32" s="36" t="str">
        <x:v>ATR-029</x:v>
      </x:c>
      <x:c r="B32" s="36" t="n">
        <x:v>10</x:v>
      </x:c>
      <x:c r="C32" s="36" t="str">
        <x:v>R-AIR-02</x:v>
      </x:c>
      <x:c r="D32" s="36" t="str">
        <x:v>RED</x:v>
      </x:c>
      <x:c r="E32" s="36" t="str">
        <x:v>事件損害</x:v>
      </x:c>
      <x:c r="F32" s="36" t="n">
        <x:v>59</x:v>
      </x:c>
      <x:c r="G32" s="36" t="n">
        <x:v>7</x:v>
      </x:c>
      <x:c r="H32" s="36" t="n">
        <x:v>5</x:v>
      </x:c>
      <x:c r="I32" s="36" t="n">
        <x:v>57</x:v>
      </x:c>
      <x:c r="J32" s="36" t="n">
        <x:v>-11</x:v>
      </x:c>
      <x:c r="K32" s="36" t="n">
        <x:v>-2</x:v>
      </x:c>
      <x:c r="L32" s="36" t="str">
        <x:v>輕微</x:v>
      </x:c>
      <x:c r="M32" s="36" t="str">
        <x:v>合成損耗/恢復紀錄</x:v>
      </x:c>
    </x:row>
    <x:row r="33">
      <x:c r="A33" s="36" t="str">
        <x:v>ATR-030</x:v>
      </x:c>
      <x:c r="B33" s="36" t="n">
        <x:v>10</x:v>
      </x:c>
      <x:c r="C33" s="36" t="str">
        <x:v>R-STR-01</x:v>
      </x:c>
      <x:c r="D33" s="36" t="str">
        <x:v>RED</x:v>
      </x:c>
      <x:c r="E33" s="36" t="str">
        <x:v>電磁干擾</x:v>
      </x:c>
      <x:c r="F33" s="36" t="n">
        <x:v>61</x:v>
      </x:c>
      <x:c r="G33" s="36" t="n">
        <x:v>11</x:v>
      </x:c>
      <x:c r="H33" s="36" t="n">
        <x:v>4</x:v>
      </x:c>
      <x:c r="I33" s="36" t="n">
        <x:v>54</x:v>
      </x:c>
      <x:c r="J33" s="36" t="n">
        <x:v>-9</x:v>
      </x:c>
      <x:c r="K33" s="36" t="n">
        <x:v>-2</x:v>
      </x:c>
      <x:c r="L33" s="36" t="str">
        <x:v>無</x:v>
      </x:c>
      <x:c r="M33" s="36" t="str">
        <x:v>合成損耗/恢復紀錄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ec9f2e18fc1449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18" hidden="0" customWidth="1"/>
    <x:col min="5" max="5" width="12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24" hidden="0" customWidth="1"/>
    <x:col min="11" max="11" width="24" hidden="0" customWidth="1"/>
    <x:col min="12" max="12" width="26" hidden="0" customWidth="1"/>
    <x:col min="13" max="13" width="34" hidden="0" customWidth="1"/>
  </x:cols>
  <x:sheetData>
    <x:row r="1" ht="30" customHeight="1">
      <x:c r="A1" s="5" t="str">
        <x:v>攔截資源配置教學實驗（合成參數）</x:v>
      </x:c>
    </x:row>
    <x:row r="3">
      <x:c r="A3" s="14" t="str">
        <x:v>case_id</x:v>
      </x:c>
      <x:c r="B3" s="14" t="str">
        <x:v>case_name</x:v>
      </x:c>
      <x:c r="C3" s="14" t="str">
        <x:v>incoming_targets</x:v>
      </x:c>
      <x:c r="D3" s="14" t="str">
        <x:v>interceptor_shots</x:v>
      </x:c>
      <x:c r="E3" s="14" t="str">
        <x:v>base_p</x:v>
      </x:c>
      <x:c r="F3" s="14" t="str">
        <x:v>detection_quality</x:v>
      </x:c>
      <x:c r="G3" s="14" t="str">
        <x:v>readiness</x:v>
      </x:c>
      <x:c r="H3" s="14" t="str">
        <x:v>sea_state</x:v>
      </x:c>
      <x:c r="I3" s="14" t="str">
        <x:v>jamming_level</x:v>
      </x:c>
      <x:c r="J3" s="14" t="str">
        <x:v>adjusted_single_attempt_p</x:v>
      </x:c>
      <x:c r="K3" s="14" t="str">
        <x:v>at_least_one_success_p</x:v>
      </x:c>
      <x:c r="L3" s="14" t="str">
        <x:v>expected_residual_targets</x:v>
      </x:c>
      <x:c r="M3" s="14" t="str">
        <x:v>note</x:v>
      </x:c>
    </x:row>
    <x:row r="4">
      <x:c r="A4" s="36" t="str">
        <x:v>LAB-01</x:v>
      </x:c>
      <x:c r="B4" s="36" t="str">
        <x:v>單一低強度來襲</x:v>
      </x:c>
      <x:c r="C4" s="36" t="n">
        <x:v>1</x:v>
      </x:c>
      <x:c r="D4" s="36" t="n">
        <x:v>1</x:v>
      </x:c>
      <x:c r="E4" s="38" t="n">
        <x:v>0.48</x:v>
      </x:c>
      <x:c r="F4" s="38" t="n">
        <x:v>0.86</x:v>
      </x:c>
      <x:c r="G4" s="38" t="n">
        <x:v>0.84</x:v>
      </x:c>
      <x:c r="H4" s="38" t="n">
        <x:v>2</x:v>
      </x:c>
      <x:c r="I4" s="38" t="n">
        <x:v>0.1</x:v>
      </x:c>
      <x:c r="J4" s="38" t="n">
        <x:f>MIN(0.95,E4*(0.6+0.4*F4)*(0.75+0.25*G4)*(1-0.08*(H4-1))*(1-0.12*I4))</x:f>
        <x:v>0.39539323699199996</x:v>
      </x:c>
      <x:c r="K4" s="38" t="n">
        <x:f>1-(1-J4)^D4</x:f>
        <x:v>0.3953932369919999</x:v>
      </x:c>
      <x:c r="L4" s="40" t="n">
        <x:f>MAX(0,C4*(1-K4))</x:f>
        <x:v>0.6046067630080001</x:v>
      </x:c>
      <x:c r="M4" s="36" t="str">
        <x:v>合成教學參數</x:v>
      </x:c>
    </x:row>
    <x:row r="5">
      <x:c r="A5" s="36" t="str">
        <x:v>LAB-02</x:v>
      </x:c>
      <x:c r="B5" s="36" t="str">
        <x:v>單一低強度來襲－雙發配置</x:v>
      </x:c>
      <x:c r="C5" s="36" t="n">
        <x:v>1</x:v>
      </x:c>
      <x:c r="D5" s="36" t="n">
        <x:v>2</x:v>
      </x:c>
      <x:c r="E5" s="38" t="n">
        <x:v>0.48</x:v>
      </x:c>
      <x:c r="F5" s="38" t="n">
        <x:v>0.86</x:v>
      </x:c>
      <x:c r="G5" s="38" t="n">
        <x:v>0.84</x:v>
      </x:c>
      <x:c r="H5" s="38" t="n">
        <x:v>2</x:v>
      </x:c>
      <x:c r="I5" s="38" t="n">
        <x:v>0.1</x:v>
      </x:c>
      <x:c r="J5" s="38" t="n">
        <x:f>MIN(0.95,E5*(0.6+0.4*F5)*(0.75+0.25*G5)*(1-0.08*(H5-1))*(1-0.12*I5))</x:f>
        <x:v>0.39539323699199996</x:v>
      </x:c>
      <x:c r="K5" s="38" t="n">
        <x:f>1-(1-J5)^D5</x:f>
        <x:v>0.634450662124988</x:v>
      </x:c>
      <x:c r="L5" s="40" t="n">
        <x:f>MAX(0,C5*(1-K5))</x:f>
        <x:v>0.365549337875012</x:v>
      </x:c>
      <x:c r="M5" s="36" t="str">
        <x:v>合成教學參數</x:v>
      </x:c>
    </x:row>
    <x:row r="6">
      <x:c r="A6" s="36" t="str">
        <x:v>LAB-03</x:v>
      </x:c>
      <x:c r="B6" s="36" t="str">
        <x:v>多目標中等干擾</x:v>
      </x:c>
      <x:c r="C6" s="36" t="n">
        <x:v>3</x:v>
      </x:c>
      <x:c r="D6" s="36" t="n">
        <x:v>4</x:v>
      </x:c>
      <x:c r="E6" s="38" t="n">
        <x:v>0.43</x:v>
      </x:c>
      <x:c r="F6" s="38" t="n">
        <x:v>0.78</x:v>
      </x:c>
      <x:c r="G6" s="38" t="n">
        <x:v>0.8</x:v>
      </x:c>
      <x:c r="H6" s="38" t="n">
        <x:v>3</x:v>
      </x:c>
      <x:c r="I6" s="38" t="n">
        <x:v>0.22</x:v>
      </x:c>
      <x:c r="J6" s="38" t="n">
        <x:f>MIN(0.95,E6*(0.6+0.4*F6)*(0.75+0.25*G6)*(1-0.08*(H6-1))*(1-0.12*I6))</x:f>
        <x:v>0.30468196684800003</x:v>
      </x:c>
      <x:c r="K6" s="38" t="n">
        <x:f>1-(1-J6)^D6</x:f>
        <x:v>0.7662594982141133</x:v>
      </x:c>
      <x:c r="L6" s="40" t="n">
        <x:f>MAX(0,C6*(1-K6))</x:f>
        <x:v>0.70122150535766</x:v>
      </x:c>
      <x:c r="M6" s="36" t="str">
        <x:v>合成教學參數</x:v>
      </x:c>
    </x:row>
    <x:row r="7">
      <x:c r="A7" s="36" t="str">
        <x:v>LAB-04</x:v>
      </x:c>
      <x:c r="B7" s="36" t="str">
        <x:v>多目標高海象與干擾</x:v>
      </x:c>
      <x:c r="C7" s="36" t="n">
        <x:v>4</x:v>
      </x:c>
      <x:c r="D7" s="36" t="n">
        <x:v>6</x:v>
      </x:c>
      <x:c r="E7" s="38" t="n">
        <x:v>0.4</x:v>
      </x:c>
      <x:c r="F7" s="38" t="n">
        <x:v>0.72</x:v>
      </x:c>
      <x:c r="G7" s="38" t="n">
        <x:v>0.76</x:v>
      </x:c>
      <x:c r="H7" s="38" t="n">
        <x:v>4</x:v>
      </x:c>
      <x:c r="I7" s="38" t="n">
        <x:v>0.3</x:v>
      </x:c>
      <x:c r="J7" s="38" t="n">
        <x:f>MIN(0.95,E7*(0.6+0.4*F7)*(0.75+0.25*G7)*(1-0.08*(H7-1))*(1-0.12*I7))</x:f>
        <x:v>0.24461970431999996</x:v>
      </x:c>
      <x:c r="K7" s="38" t="n">
        <x:f>1-(1-J7)^D7</x:f>
        <x:v>0.8142221589267489</x:v>
      </x:c>
      <x:c r="L7" s="40" t="n">
        <x:f>MAX(0,C7*(1-K7))</x:f>
        <x:v>0.7431113642930045</x:v>
      </x:c>
      <x:c r="M7" s="36" t="str">
        <x:v>合成教學參數</x:v>
      </x:c>
    </x:row>
    <x:row r="8">
      <x:c r="A8" s="36" t="str">
        <x:v>LAB-05</x:v>
      </x:c>
      <x:c r="B8" s="36" t="str">
        <x:v>改善預警後的多目標情境</x:v>
      </x:c>
      <x:c r="C8" s="36" t="n">
        <x:v>4</x:v>
      </x:c>
      <x:c r="D8" s="36" t="n">
        <x:v>6</x:v>
      </x:c>
      <x:c r="E8" s="38" t="n">
        <x:v>0.4</x:v>
      </x:c>
      <x:c r="F8" s="38" t="n">
        <x:v>0.91</x:v>
      </x:c>
      <x:c r="G8" s="38" t="n">
        <x:v>0.82</x:v>
      </x:c>
      <x:c r="H8" s="38" t="n">
        <x:v>3</x:v>
      </x:c>
      <x:c r="I8" s="38" t="n">
        <x:v>0.18</x:v>
      </x:c>
      <x:c r="J8" s="38" t="n">
        <x:f>MIN(0.95,E8*(0.6+0.4*F8)*(0.75+0.25*G8)*(1-0.08*(H8-1))*(1-0.12*I8))</x:f>
        <x:v>0.30264682828799994</x:v>
      </x:c>
      <x:c r="K8" s="38" t="n">
        <x:f>1-(1-J8)^D8</x:f>
        <x:v>0.8849950103976837</x:v>
      </x:c>
      <x:c r="L8" s="40" t="n">
        <x:f>MAX(0,C8*(1-K8))</x:f>
        <x:v>0.46001995840926524</x:v>
      </x:c>
      <x:c r="M8" s="36" t="str">
        <x:v>合成教學參數</x:v>
      </x:c>
    </x:row>
    <x:row r="9">
      <x:c r="A9" s="36" t="str">
        <x:v>LAB-06</x:v>
      </x:c>
      <x:c r="B9" s="36" t="str">
        <x:v>保留庫存的節制配置</x:v>
      </x:c>
      <x:c r="C9" s="36" t="n">
        <x:v>5</x:v>
      </x:c>
      <x:c r="D9" s="36" t="n">
        <x:v>5</x:v>
      </x:c>
      <x:c r="E9" s="38" t="n">
        <x:v>0.46</x:v>
      </x:c>
      <x:c r="F9" s="38" t="n">
        <x:v>0.84</x:v>
      </x:c>
      <x:c r="G9" s="38" t="n">
        <x:v>0.86</x:v>
      </x:c>
      <x:c r="H9" s="38" t="n">
        <x:v>2</x:v>
      </x:c>
      <x:c r="I9" s="38" t="n">
        <x:v>0.15</x:v>
      </x:c>
      <x:c r="J9" s="38" t="n">
        <x:f>MIN(0.95,E9*(0.6+0.4*F9)*(0.75+0.25*G9)*(1-0.08*(H9-1))*(1-0.12*I9))</x:f>
        <x:v>0.375370646976</x:v>
      </x:c>
      <x:c r="K9" s="38" t="n">
        <x:f>1-(1-J9)^D9</x:f>
        <x:v>0.9049150143610003</x:v>
      </x:c>
      <x:c r="L9" s="40" t="n">
        <x:f>MAX(0,C9*(1-K9))</x:f>
        <x:v>0.4754249281949985</x:v>
      </x:c>
      <x:c r="M9" s="36" t="str">
        <x:v>合成教學參數</x:v>
      </x:c>
    </x:row>
    <x:row r="12">
      <x:c r="A12" s="30" t="str">
        <x:v>模型說明：此處只比較「相同合成假設下」的資源配置差異。實際防空成效不具獨立性，且受感測鏈、射擊窗口、同時多目標、指管延遲與系統失效等共同因素影響。</x:v>
      </x:c>
    </x:row>
  </x:sheetData>
  <x:mergeCells>
    <x:mergeCell ref="A1:M1"/>
    <x:mergeCell ref="A12:M14"/>
  </x:mergeCells>
  <x:pageMargins left="0.7" right="0.7" top="0.75" bottom="0.75" header="0.3" footer="0.3"/>
  <x:tableParts count="1">
    <x:tablePart xmlns:r="http://schemas.openxmlformats.org/officeDocument/2006/relationships" r:id="Rd02f511623444f7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58" hidden="0" customWidth="1"/>
    <x:col min="5" max="5" width="18" hidden="0" customWidth="1"/>
  </x:cols>
  <x:sheetData>
    <x:row r="1" ht="30" customHeight="1">
      <x:c r="A1" s="5" t="str">
        <x:v>資料字典與真實/合成標記</x:v>
      </x:c>
    </x:row>
    <x:row r="3">
      <x:c r="A3" s="14" t="str">
        <x:v>table_name</x:v>
      </x:c>
      <x:c r="B3" s="14" t="str">
        <x:v>field_name</x:v>
      </x:c>
      <x:c r="C3" s="14" t="str">
        <x:v>data_type</x:v>
      </x:c>
      <x:c r="D3" s="14" t="str">
        <x:v>description</x:v>
      </x:c>
      <x:c r="E3" s="14" t="str">
        <x:v>data_class</x:v>
      </x:c>
    </x:row>
    <x:row r="4">
      <x:c r="A4" s="26" t="str">
        <x:v>public_sources</x:v>
      </x:c>
      <x:c r="B4" s="26" t="str">
        <x:v>source_id</x:v>
      </x:c>
      <x:c r="C4" s="26" t="str">
        <x:v>TEXT</x:v>
      </x:c>
      <x:c r="D4" s="26" t="str">
        <x:v>公開資料來源代碼</x:v>
      </x:c>
      <x:c r="E4" s="26" t="str">
        <x:v>真實來源</x:v>
      </x:c>
    </x:row>
    <x:row r="5">
      <x:c r="A5" s="26" t="str">
        <x:v>public_activity_sample</x:v>
      </x:c>
      <x:c r="B5" s="26" t="str">
        <x:v>report_date</x:v>
      </x:c>
      <x:c r="C5" s="26" t="str">
        <x:v>DATE</x:v>
      </x:c>
      <x:c r="D5" s="26" t="str">
        <x:v>國防部公開活動公告日期</x:v>
      </x:c>
      <x:c r="E5" s="26" t="str">
        <x:v>真實公開資料</x:v>
      </x:c>
    </x:row>
    <x:row r="6">
      <x:c r="A6" s="26" t="str">
        <x:v>scenario_master</x:v>
      </x:c>
      <x:c r="B6" s="26" t="str">
        <x:v>scenario_id</x:v>
      </x:c>
      <x:c r="C6" s="26" t="str">
        <x:v>TEXT</x:v>
      </x:c>
      <x:c r="D6" s="26" t="str">
        <x:v>情境代碼</x:v>
      </x:c>
      <x:c r="E6" s="26" t="str">
        <x:v>合成</x:v>
      </x:c>
    </x:row>
    <x:row r="7">
      <x:c r="A7" s="26" t="str">
        <x:v>actors</x:v>
      </x:c>
      <x:c r="B7" s="26" t="str">
        <x:v>actor_id</x:v>
      </x:c>
      <x:c r="C7" s="26" t="str">
        <x:v>TEXT</x:v>
      </x:c>
      <x:c r="D7" s="26" t="str">
        <x:v>BLUE/RED/AMBER/WHITE</x:v>
      </x:c>
      <x:c r="E7" s="26" t="str">
        <x:v>合成</x:v>
      </x:c>
    </x:row>
    <x:row r="8">
      <x:c r="A8" s="26" t="str">
        <x:v>zones</x:v>
      </x:c>
      <x:c r="B8" s="26" t="str">
        <x:v>zone_id</x:v>
      </x:c>
      <x:c r="C8" s="26" t="str">
        <x:v>TEXT</x:v>
      </x:c>
      <x:c r="D8" s="26" t="str">
        <x:v>抽象區域，不含座標</x:v>
      </x:c>
      <x:c r="E8" s="26" t="str">
        <x:v>合成</x:v>
      </x:c>
    </x:row>
    <x:row r="9">
      <x:c r="A9" s="26" t="str">
        <x:v>force_packages</x:v>
      </x:c>
      <x:c r="B9" s="26" t="str">
        <x:v>readiness</x:v>
      </x:c>
      <x:c r="C9" s="26" t="str">
        <x:v>INTEGER</x:v>
      </x:c>
      <x:c r="D9" s="26" t="str">
        <x:v>初始妥善/任務準備指數0-100</x:v>
      </x:c>
      <x:c r="E9" s="26" t="str">
        <x:v>合成</x:v>
      </x:c>
    </x:row>
    <x:row r="10">
      <x:c r="A10" s="26" t="str">
        <x:v>capability_catalog</x:v>
      </x:c>
      <x:c r="B10" s="26" t="str">
        <x:v>sensor_index</x:v>
      </x:c>
      <x:c r="C10" s="26" t="str">
        <x:v>INTEGER</x:v>
      </x:c>
      <x:c r="D10" s="26" t="str">
        <x:v>能力指數1-5</x:v>
      </x:c>
      <x:c r="E10" s="26" t="str">
        <x:v>合成</x:v>
      </x:c>
    </x:row>
    <x:row r="11">
      <x:c r="A11" s="26" t="str">
        <x:v>weather</x:v>
      </x:c>
      <x:c r="B11" s="26" t="str">
        <x:v>sea_state</x:v>
      </x:c>
      <x:c r="C11" s="26" t="str">
        <x:v>INTEGER</x:v>
      </x:c>
      <x:c r="D11" s="26" t="str">
        <x:v>合成海況1-5</x:v>
      </x:c>
      <x:c r="E11" s="26" t="str">
        <x:v>合成</x:v>
      </x:c>
    </x:row>
    <x:row r="12">
      <x:c r="A12" s="26" t="str">
        <x:v>intelligence_reports</x:v>
      </x:c>
      <x:c r="B12" s="26" t="str">
        <x:v>confidence</x:v>
      </x:c>
      <x:c r="C12" s="26" t="str">
        <x:v>INTEGER</x:v>
      </x:c>
      <x:c r="D12" s="26" t="str">
        <x:v>分析信心0-100</x:v>
      </x:c>
      <x:c r="E12" s="26" t="str">
        <x:v>合成</x:v>
      </x:c>
    </x:row>
    <x:row r="13">
      <x:c r="A13" s="26" t="str">
        <x:v>event_cards</x:v>
      </x:c>
      <x:c r="B13" s="26" t="str">
        <x:v>readiness_delta</x:v>
      </x:c>
      <x:c r="C13" s="26" t="str">
        <x:v>INTEGER</x:v>
      </x:c>
      <x:c r="D13" s="26" t="str">
        <x:v>事件對準備指數的影響</x:v>
      </x:c>
      <x:c r="E13" s="26" t="str">
        <x:v>合成</x:v>
      </x:c>
    </x:row>
    <x:row r="14">
      <x:c r="A14" s="26" t="str">
        <x:v>orders</x:v>
      </x:c>
      <x:c r="B14" s="26" t="str">
        <x:v>resource_points</x:v>
      </x:c>
      <x:c r="C14" s="26" t="str">
        <x:v>INTEGER</x:v>
      </x:c>
      <x:c r="D14" s="26" t="str">
        <x:v>抽象資源點數</x:v>
      </x:c>
      <x:c r="E14" s="26" t="str">
        <x:v>合成</x:v>
      </x:c>
    </x:row>
    <x:row r="15">
      <x:c r="A15" s="26" t="str">
        <x:v>engagement_log</x:v>
      </x:c>
      <x:c r="B15" s="26" t="str">
        <x:v>base_p</x:v>
      </x:c>
      <x:c r="C15" s="26" t="str">
        <x:v>REAL</x:v>
      </x:c>
      <x:c r="D15" s="26" t="str">
        <x:v>單次效果基準機率，僅供教學</x:v>
      </x:c>
      <x:c r="E15" s="26" t="str">
        <x:v>合成</x:v>
      </x:c>
    </x:row>
    <x:row r="16">
      <x:c r="A16" s="26" t="str">
        <x:v>engagement_log</x:v>
      </x:c>
      <x:c r="B16" s="26" t="str">
        <x:v>adjusted_p</x:v>
      </x:c>
      <x:c r="C16" s="26" t="str">
        <x:v>FORMULA</x:v>
      </x:c>
      <x:c r="D16" s="26" t="str">
        <x:v>含感測、妥善、海象與干擾修正</x:v>
      </x:c>
      <x:c r="E16" s="26" t="str">
        <x:v>合成</x:v>
      </x:c>
    </x:row>
    <x:row r="17">
      <x:c r="A17" s="26" t="str">
        <x:v>engagement_log</x:v>
      </x:c>
      <x:c r="B17" s="26" t="str">
        <x:v>success_probability</x:v>
      </x:c>
      <x:c r="C17" s="26" t="str">
        <x:v>FORMULA</x:v>
      </x:c>
      <x:c r="D17" s="26" t="str">
        <x:v>至少一次成功的教學機率</x:v>
      </x:c>
      <x:c r="E17" s="26" t="str">
        <x:v>合成</x:v>
      </x:c>
    </x:row>
    <x:row r="18">
      <x:c r="A18" s="26" t="str">
        <x:v>attrition_log</x:v>
      </x:c>
      <x:c r="B18" s="26" t="str">
        <x:v>readiness_after</x:v>
      </x:c>
      <x:c r="C18" s="26" t="str">
        <x:v>INTEGER</x:v>
      </x:c>
      <x:c r="D18" s="26" t="str">
        <x:v>回合後準備指數</x:v>
      </x:c>
      <x:c r="E18" s="26" t="str">
        <x:v>合成</x:v>
      </x:c>
    </x:row>
    <x:row r="19">
      <x:c r="A19" s="26" t="str">
        <x:v>intercept_lab</x:v>
      </x:c>
      <x:c r="B19" s="26" t="str">
        <x:v>expected_residual</x:v>
      </x:c>
      <x:c r="C19" s="26" t="str">
        <x:v>FORMULA</x:v>
      </x:c>
      <x:c r="D19" s="26" t="str">
        <x:v>未被防護的期望目標數，僅供比較</x:v>
      </x:c>
      <x:c r="E19" s="26" t="str">
        <x:v>合成</x:v>
      </x:c>
    </x:row>
    <x:row r="20">
      <x:c r="A20" s="56" t="str">
        <x:v>scenario_master</x:v>
      </x:c>
      <x:c r="B20" s="56" t="str">
        <x:v>template_key</x:v>
      </x:c>
      <x:c r="C20" s="56" t="str">
        <x:v>TEXT</x:v>
      </x:c>
      <x:c r="D20" s="56" t="str">
        <x:v>對應介面的情境範本代碼</x:v>
      </x:c>
      <x:c r="E20" s="56" t="str">
        <x:v>合成</x:v>
      </x:c>
    </x:row>
    <x:row r="21">
      <x:c r="A21" s="60" t="str">
        <x:v>scenario_master</x:v>
      </x:c>
      <x:c r="B21" s="60" t="str">
        <x:v>strategic_parameters_json</x:v>
      </x:c>
      <x:c r="C21" s="60" t="str">
        <x:v>JSON</x:v>
      </x:c>
      <x:c r="D21" s="60" t="str">
        <x:v>戰略壓力參數完整設定</x:v>
      </x:c>
      <x:c r="E21" s="60" t="str">
        <x:v>合成</x:v>
      </x:c>
    </x:row>
    <x:row r="22">
      <x:c r="A22" s="56" t="str">
        <x:v>scenario_master</x:v>
      </x:c>
      <x:c r="B22" s="56" t="str">
        <x:v>resources_json</x:v>
      </x:c>
      <x:c r="C22" s="56" t="str">
        <x:v>JSON</x:v>
      </x:c>
      <x:c r="D22" s="56" t="str">
        <x:v>十一項合成資源預設值</x:v>
      </x:c>
      <x:c r="E22" s="56" t="str">
        <x:v>合成</x:v>
      </x:c>
    </x:row>
    <x:row r="23">
      <x:c r="A23" s="60" t="str">
        <x:v>setting_catalog</x:v>
      </x:c>
      <x:c r="B23" s="60" t="str">
        <x:v>setting_id</x:v>
      </x:c>
      <x:c r="C23" s="60" t="str">
        <x:v>TEXT</x:v>
      </x:c>
      <x:c r="D23" s="60" t="str">
        <x:v>index.html 控制項識別碼</x:v>
      </x:c>
      <x:c r="E23" s="60" t="str">
        <x:v>系統設定</x:v>
      </x:c>
    </x:row>
    <x:row r="24">
      <x:c r="A24" s="56" t="str">
        <x:v>setting_catalog</x:v>
      </x:c>
      <x:c r="B24" s="56" t="str">
        <x:v>option_values_json</x:v>
      </x:c>
      <x:c r="C24" s="56" t="str">
        <x:v>JSON</x:v>
      </x:c>
      <x:c r="D24" s="56" t="str">
        <x:v>選單可用值；動態選單可為空陣列</x:v>
      </x:c>
      <x:c r="E24" s="56" t="str">
        <x:v>系統設定</x:v>
      </x:c>
    </x:row>
    <x:row r="25">
      <x:c r="A25" s="60" t="str">
        <x:v>resource_catalog</x:v>
      </x:c>
      <x:c r="B25" s="60" t="str">
        <x:v>resource_id</x:v>
      </x:c>
      <x:c r="C25" s="60" t="str">
        <x:v>TEXT</x:v>
      </x:c>
      <x:c r="D25" s="60" t="str">
        <x:v>與 app.js RESOURCE_DEFAULTS 對應</x:v>
      </x:c>
      <x:c r="E25" s="60" t="str">
        <x:v>合成</x:v>
      </x:c>
    </x:row>
    <x:row r="26">
      <x:c r="A26" s="56" t="str">
        <x:v>action_catalog</x:v>
      </x:c>
      <x:c r="B26" s="56" t="str">
        <x:v>action_id</x:v>
      </x:c>
      <x:c r="C26" s="56" t="str">
        <x:v>TEXT</x:v>
      </x:c>
      <x:c r="D26" s="56" t="str">
        <x:v>與 app.js ACTIONS 對應</x:v>
      </x:c>
      <x:c r="E26" s="56" t="str">
        <x:v>合成</x:v>
      </x:c>
    </x:row>
    <x:row r="27">
      <x:c r="A27" s="60" t="str">
        <x:v>llm_providers</x:v>
      </x:c>
      <x:c r="B27" s="60" t="str">
        <x:v>endpoint</x:v>
      </x:c>
      <x:c r="C27" s="60" t="str">
        <x:v>TEXT</x:v>
      </x:c>
      <x:c r="D27" s="60" t="str">
        <x:v>供應商預設 HTTPS API Endpoint</x:v>
      </x:c>
      <x:c r="E27" s="60" t="str">
        <x:v>系統設定</x:v>
      </x:c>
    </x:row>
    <x:row r="28">
      <x:c r="A28" s="56" t="str">
        <x:v>llm_providers</x:v>
      </x:c>
      <x:c r="B28" s="56" t="str">
        <x:v>api_key_storage</x:v>
      </x:c>
      <x:c r="C28" s="56" t="str">
        <x:v>TEXT</x:v>
      </x:c>
      <x:c r="D28" s="56" t="str">
        <x:v>僅記錄保存政策，不保存任何金鑰</x:v>
      </x:c>
      <x:c r="E28" s="56" t="str">
        <x:v>系統設定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97b370c5eae4c8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7.25" hidden="0" customWidth="1"/>
    <x:col min="3" max="3" width="15.880000114440918" hidden="0" customWidth="1"/>
    <x:col min="4" max="4" width="16.8799991607666" hidden="0" customWidth="1"/>
    <x:col min="5" max="5" width="14.880000114440918" hidden="0" customWidth="1"/>
    <x:col min="6" max="6" width="5.6300001144409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</x:cols>
  <x:sheetData>
    <x:row r="1">
      <x:c r="A1" s="5" t="str">
        <x:v>臺海教學兵推資料庫 Dashboard（所有作戰參數均為合成）</x:v>
      </x:c>
    </x:row>
    <x:row r="3">
      <x:c r="A3" s="14" t="str">
        <x:v>KPI</x:v>
      </x:c>
      <x:c r="B3" s="14" t="str">
        <x:v>值</x:v>
      </x:c>
      <x:c r="C3" s="14" t="str">
        <x:v>單位</x:v>
      </x:c>
      <x:c r="D3" s="14" t="str">
        <x:v>說明</x:v>
      </x:c>
      <x:c r="H3" s="14" t="str">
        <x:v>交戰摘要</x:v>
      </x:c>
      <x:c r="I3" s="14" t="str">
        <x:v>值</x:v>
      </x:c>
      <x:c r="J3" s="14" t="str">
        <x:v>單位</x:v>
      </x:c>
      <x:c r="K3" s="14" t="str">
        <x:v>資料類型</x:v>
      </x:c>
      <x:c r="L3" s="14" t="str">
        <x:v>提醒</x:v>
      </x:c>
    </x:row>
    <x:row r="4" ht="30" customHeight="1">
      <x:c r="A4" s="22" t="str">
        <x:v>公開資料來源</x:v>
      </x:c>
      <x:c r="B4" s="26" t="n">
        <x:v>16</x:v>
      </x:c>
      <x:c r="C4" s="26" t="str">
        <x:v>個</x:v>
      </x:c>
      <x:c r="D4" s="26" t="str">
        <x:v>可作為背景、趨勢、地理與氣象資料</x:v>
      </x:c>
      <x:c r="H4" s="22" t="str">
        <x:v>合成交戰事件</x:v>
      </x:c>
      <x:c r="I4" t="n">
        <x:v>24</x:v>
      </x:c>
      <x:c r="J4" t="str">
        <x:v>筆</x:v>
      </x:c>
      <x:c r="K4" t="str">
        <x:v>合成</x:v>
      </x:c>
      <x:c r="L4" t="str">
        <x:v>不可視為實戰統計</x:v>
      </x:c>
    </x:row>
    <x:row r="5" ht="30" customHeight="1">
      <x:c r="A5" s="22" t="str">
        <x:v>合成兵力包</x:v>
      </x:c>
      <x:c r="B5" s="26" t="n">
        <x:v>20</x:v>
      </x:c>
      <x:c r="C5" s="26" t="str">
        <x:v>個</x:v>
      </x:c>
      <x:c r="D5" s="26" t="str">
        <x:v>不對應真實編裝或部署</x:v>
      </x:c>
      <x:c r="H5" s="22" t="str">
        <x:v>裁決為防護成功</x:v>
      </x:c>
      <x:c r="I5" t="n">
        <x:v>13</x:v>
      </x:c>
      <x:c r="J5" t="str">
        <x:v>筆</x:v>
      </x:c>
      <x:c r="K5" t="str">
        <x:v>合成</x:v>
      </x:c>
      <x:c r="L5" t="str">
        <x:v>由隨機示範產生</x:v>
      </x:c>
    </x:row>
    <x:row r="6" ht="30" customHeight="1">
      <x:c r="A6" s="22" t="str">
        <x:v>情境回合</x:v>
      </x:c>
      <x:c r="B6" s="26" t="n">
        <x:v>12</x:v>
      </x:c>
      <x:c r="C6" s="26" t="str">
        <x:v>回合</x:v>
      </x:c>
      <x:c r="D6" s="26" t="str">
        <x:v>每回合6小時</x:v>
      </x:c>
      <x:c r="H6" s="22" t="str">
        <x:v>事件卡</x:v>
      </x:c>
      <x:c r="I6" t="n">
        <x:v>12</x:v>
      </x:c>
      <x:c r="J6" t="str">
        <x:v>張</x:v>
      </x:c>
      <x:c r="K6" t="str">
        <x:v>合成</x:v>
      </x:c>
      <x:c r="L6" t="str">
        <x:v>涵蓋民事、後勤、氣象與外交</x:v>
      </x:c>
    </x:row>
    <x:row r="7" ht="30" customHeight="1">
      <x:c r="A7" s="22" t="str">
        <x:v>情報報告</x:v>
      </x:c>
      <x:c r="B7" s="26" t="n">
        <x:v>30</x:v>
      </x:c>
      <x:c r="C7" s="26" t="str">
        <x:v>筆</x:v>
      </x:c>
      <x:c r="D7" s="26" t="str">
        <x:v>含可信度與教師真實狀態</x:v>
      </x:c>
      <x:c r="H7" s="22" t="str">
        <x:v>公開活動樣本</x:v>
      </x:c>
      <x:c r="I7" t="n">
        <x:v>5</x:v>
      </x:c>
      <x:c r="J7" t="str">
        <x:v>筆</x:v>
      </x:c>
      <x:c r="K7" t="str">
        <x:v>真實公開</x:v>
      </x:c>
      <x:c r="L7" t="str">
        <x:v>僅少量示範</x:v>
      </x:c>
    </x:row>
    <x:row r="10">
      <x:c r="A10" s="14" t="str">
        <x:v>actor_id</x:v>
      </x:c>
      <x:c r="B10" s="14" t="str">
        <x:v>avg_readiness_before</x:v>
      </x:c>
      <x:c r="C10" s="14" t="str">
        <x:v>avg_readiness_after</x:v>
      </x:c>
      <x:c r="D10" s="14" t="str">
        <x:v>ammo_change_index</x:v>
      </x:c>
      <x:c r="E10" s="14" t="str">
        <x:v>fuel_change_index</x:v>
      </x:c>
      <x:c r="F10" s="14" t="str">
        <x:v>events</x:v>
      </x:c>
      <x:c r="H10" s="14" t="str">
        <x:v>turn</x:v>
      </x:c>
      <x:c r="I10" s="14" t="str">
        <x:v>BLUE</x:v>
      </x:c>
      <x:c r="J10" s="14" t="str">
        <x:v>RED</x:v>
      </x:c>
      <x:c r="K10" s="14" t="str">
        <x:v>AMBER</x:v>
      </x:c>
    </x:row>
    <x:row r="11">
      <x:c r="A11" s="36" t="str">
        <x:v>BLUE</x:v>
      </x:c>
      <x:c r="B11" s="36" t="n">
        <x:v>68.4</x:v>
      </x:c>
      <x:c r="C11" s="36" t="n">
        <x:v>64.8</x:v>
      </x:c>
      <x:c r="D11" s="36" t="n">
        <x:v>-25</x:v>
      </x:c>
      <x:c r="E11" s="36" t="n">
        <x:v>-32</x:v>
      </x:c>
      <x:c r="F11" s="36" t="n">
        <x:v>5</x:v>
      </x:c>
      <x:c r="H11" s="44" t="n">
        <x:v>1</x:v>
      </x:c>
      <x:c r="I11" s="44" t="n">
        <x:v>76</x:v>
      </x:c>
      <x:c r="J11" s="44" t="n">
        <x:v>80.7</x:v>
      </x:c>
      <x:c r="K11" s="44" t="n">
        <x:v>85.5</x:v>
      </x:c>
    </x:row>
    <x:row r="12">
      <x:c r="A12" s="36" t="str">
        <x:v>RED</x:v>
      </x:c>
      <x:c r="B12" s="36" t="n">
        <x:v>69.8</x:v>
      </x:c>
      <x:c r="C12" s="36" t="n">
        <x:v>65.3</x:v>
      </x:c>
      <x:c r="D12" s="36" t="n">
        <x:v>-122</x:v>
      </x:c>
      <x:c r="E12" s="36" t="n">
        <x:v>-140</x:v>
      </x:c>
      <x:c r="F12" s="36" t="n">
        <x:v>18</x:v>
      </x:c>
      <x:c r="H12" s="44" t="n">
        <x:v>2</x:v>
      </x:c>
      <x:c r="I12" s="44" t="n">
        <x:v>76</x:v>
      </x:c>
      <x:c r="J12" s="44" t="n">
        <x:v>79.7</x:v>
      </x:c>
      <x:c r="K12" s="44" t="n">
        <x:v>86.8</x:v>
      </x:c>
    </x:row>
    <x:row r="13">
      <x:c r="A13" s="36" t="str">
        <x:v>AMBER</x:v>
      </x:c>
      <x:c r="B13" s="36" t="n">
        <x:v>68</x:v>
      </x:c>
      <x:c r="C13" s="36" t="n">
        <x:v>66.6</x:v>
      </x:c>
      <x:c r="D13" s="36" t="n">
        <x:v>-9</x:v>
      </x:c>
      <x:c r="E13" s="36" t="n">
        <x:v>-49</x:v>
      </x:c>
      <x:c r="F13" s="36" t="n">
        <x:v>5</x:v>
      </x:c>
      <x:c r="H13" s="44" t="n">
        <x:v>3</x:v>
      </x:c>
      <x:c r="I13" s="44" t="n">
        <x:v>76</x:v>
      </x:c>
      <x:c r="J13" s="44" t="n">
        <x:v>79.4</x:v>
      </x:c>
      <x:c r="K13" s="44" t="n">
        <x:v>86.8</x:v>
      </x:c>
    </x:row>
    <x:row r="14">
      <x:c r="H14" s="44" t="n">
        <x:v>4</x:v>
      </x:c>
      <x:c r="I14" s="44" t="n">
        <x:v>76</x:v>
      </x:c>
      <x:c r="J14" s="44" t="n">
        <x:v>78.6</x:v>
      </x:c>
      <x:c r="K14" s="44" t="n">
        <x:v>86.8</x:v>
      </x:c>
    </x:row>
    <x:row r="15">
      <x:c r="H15" s="44" t="n">
        <x:v>5</x:v>
      </x:c>
      <x:c r="I15" s="44" t="n">
        <x:v>76</x:v>
      </x:c>
      <x:c r="J15" s="44" t="n">
        <x:v>76.4</x:v>
      </x:c>
      <x:c r="K15" s="44" t="n">
        <x:v>86.8</x:v>
      </x:c>
    </x:row>
    <x:row r="16">
      <x:c r="H16" s="44" t="n">
        <x:v>6</x:v>
      </x:c>
      <x:c r="I16" s="44" t="n">
        <x:v>76</x:v>
      </x:c>
      <x:c r="J16" s="44" t="n">
        <x:v>74.3</x:v>
      </x:c>
      <x:c r="K16" s="44" t="n">
        <x:v>86.8</x:v>
      </x:c>
    </x:row>
    <x:row r="17">
      <x:c r="H17" s="44" t="n">
        <x:v>7</x:v>
      </x:c>
      <x:c r="I17" s="44" t="n">
        <x:v>75.6</x:v>
      </x:c>
      <x:c r="J17" s="44" t="n">
        <x:v>74.3</x:v>
      </x:c>
      <x:c r="K17" s="44" t="n">
        <x:v>86.8</x:v>
      </x:c>
    </x:row>
    <x:row r="18">
      <x:c r="H18" s="44" t="n">
        <x:v>8</x:v>
      </x:c>
      <x:c r="I18" s="44" t="n">
        <x:v>75.2</x:v>
      </x:c>
      <x:c r="J18" s="44" t="n">
        <x:v>72.7</x:v>
      </x:c>
      <x:c r="K18" s="44" t="n">
        <x:v>86.8</x:v>
      </x:c>
    </x:row>
    <x:row r="19">
      <x:c r="H19" s="44" t="n">
        <x:v>9</x:v>
      </x:c>
      <x:c r="I19" s="44" t="n">
        <x:v>74.4</x:v>
      </x:c>
      <x:c r="J19" s="44" t="n">
        <x:v>71.3</x:v>
      </x:c>
      <x:c r="K19" s="44" t="n">
        <x:v>86.8</x:v>
      </x:c>
    </x:row>
    <x:row r="20">
      <x:c r="H20" s="44" t="n">
        <x:v>10</x:v>
      </x:c>
      <x:c r="I20" s="44" t="n">
        <x:v>74.4</x:v>
      </x:c>
      <x:c r="J20" s="44" t="n">
        <x:v>70</x:v>
      </x:c>
      <x:c r="K20" s="44" t="n">
        <x:v>86.8</x:v>
      </x:c>
    </x:row>
    <x:row r="21">
      <x:c r="H21" s="44" t="n">
        <x:v>11</x:v>
      </x:c>
      <x:c r="I21" s="44" t="n">
        <x:v>74.4</x:v>
      </x:c>
      <x:c r="J21" s="44" t="n">
        <x:v>70</x:v>
      </x:c>
      <x:c r="K21" s="44" t="n">
        <x:v>86.8</x:v>
      </x:c>
    </x:row>
    <x:row r="22">
      <x:c r="H22" s="44" t="n">
        <x:v>12</x:v>
      </x:c>
      <x:c r="I22" s="44" t="n">
        <x:v>74.4</x:v>
      </x:c>
      <x:c r="J22" s="44" t="n">
        <x:v>70</x:v>
      </x:c>
      <x:c r="K22" s="44" t="n">
        <x:v>86.8</x:v>
      </x:c>
    </x:row>
    <x:row r="34">
      <x:c r="A34" s="30" t="str">
        <x:v>使用建議：先以公開來源建立「事件與背景層」，再由教師建立合成兵力、庫存與效能參數；學生看到的情報與教師真實狀態應分離，所有人工裁決必須留下理由。</x:v>
      </x:c>
    </x:row>
  </x:sheetData>
  <x:mergeCells>
    <x:mergeCell ref="A1:L1"/>
    <x:mergeCell ref="A34:L36"/>
  </x:mergeCells>
  <x:pageMargins left="0.7" right="0.7" top="0.75" bottom="0.75" header="0.3" footer="0.3"/>
  <x:drawing xmlns:r="http://schemas.openxmlformats.org/officeDocument/2006/relationships" r:id="Ra42f39ca837543e6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6" hidden="0" customWidth="1"/>
    <x:col min="5" max="5" width="12" hidden="0" customWidth="1"/>
    <x:col min="6" max="6" width="9" hidden="0" customWidth="1"/>
    <x:col min="7" max="7" width="12" hidden="0" customWidth="1"/>
    <x:col min="8" max="8" width="14" hidden="0" customWidth="1"/>
    <x:col min="9" max="9" width="13" hidden="0" customWidth="1"/>
    <x:col min="10" max="10" width="11" hidden="0" customWidth="1"/>
    <x:col min="11" max="11" width="14" hidden="0" customWidth="1"/>
    <x:col min="12" max="12" width="12" hidden="0" customWidth="1"/>
    <x:col min="13" max="13" width="18" hidden="0" customWidth="1"/>
    <x:col min="14" max="14" width="14" hidden="0" customWidth="1"/>
    <x:col min="15" max="15" width="34" hidden="0" customWidth="1"/>
    <x:col min="16" max="16" width="50" hidden="0" customWidth="1"/>
    <x:col min="17" max="17" width="42" hidden="0" customWidth="1"/>
    <x:col min="18" max="18" width="42" hidden="0" customWidth="1"/>
    <x:col min="19" max="19" width="50" hidden="0" customWidth="1"/>
    <x:col min="20" max="20" width="50" hidden="0" customWidth="1"/>
    <x:col min="21" max="21" width="48" hidden="0" customWidth="1"/>
    <x:col min="22" max="22" width="50" hidden="0" customWidth="1"/>
    <x:col min="23" max="23" width="50" hidden="0" customWidth="1"/>
    <x:col min="24" max="24" width="24" hidden="0" customWidth="1"/>
  </x:cols>
  <x:sheetData>
    <x:row r="1" ht="26" customHeight="1">
      <x:c r="A1" s="47" t="str">
        <x:v>九種內建情境範本與完整預設設定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</x:row>
    <x:row r="3" ht="30" customHeight="1">
      <x:c r="A3" s="52" t="str">
        <x:v>template_key</x:v>
      </x:c>
      <x:c r="B3" s="52" t="str">
        <x:v>介面標籤</x:v>
      </x:c>
      <x:c r="C3" s="52" t="str">
        <x:v>想定名稱</x:v>
      </x:c>
      <x:c r="D3" s="52" t="str">
        <x:v>重點</x:v>
      </x:c>
      <x:c r="E3" s="52" t="str">
        <x:v>難度</x:v>
      </x:c>
      <x:c r="F3" s="52" t="str">
        <x:v>回合</x:v>
      </x:c>
      <x:c r="G3" s="52" t="str">
        <x:v>時數/回合</x:v>
      </x:c>
      <x:c r="H3" s="52" t="str">
        <x:v>時間範圍</x:v>
      </x:c>
      <x:c r="I3" s="52" t="str">
        <x:v>情報不確定度</x:v>
      </x:c>
      <x:c r="J3" s="52" t="str">
        <x:v>民事壓力</x:v>
      </x:c>
      <x:c r="K3" s="52" t="str">
        <x:v>外部支援</x:v>
      </x:c>
      <x:c r="L3" s="52" t="str">
        <x:v>天候</x:v>
      </x:c>
      <x:c r="M3" s="52" t="str">
        <x:v>回合順序</x:v>
      </x:c>
      <x:c r="N3" s="52" t="str">
        <x:v>先手公開</x:v>
      </x:c>
      <x:c r="O3" s="52" t="str">
        <x:v>來源/案例</x:v>
      </x:c>
      <x:c r="P3" s="52" t="str">
        <x:v>簡介</x:v>
      </x:c>
      <x:c r="Q3" s="52" t="str">
        <x:v>戰略參數JSON</x:v>
      </x:c>
      <x:c r="R3" s="52" t="str">
        <x:v>資源JSON</x:v>
      </x:c>
      <x:c r="S3" s="52" t="str">
        <x:v>目標JSON</x:v>
      </x:c>
      <x:c r="T3" s="52" t="str">
        <x:v>成功條件JSON</x:v>
      </x:c>
      <x:c r="U3" s="52" t="str">
        <x:v>限制JSON</x:v>
      </x:c>
      <x:c r="V3" s="52" t="str">
        <x:v>參考資料JSON</x:v>
      </x:c>
      <x:c r="W3" s="52" t="str">
        <x:v>事件JSON</x:v>
      </x:c>
      <x:c r="X3" s="52" t="str">
        <x:v>資料分類</x:v>
      </x:c>
    </x:row>
    <x:row r="4">
      <x:c r="A4" s="56" t="str">
        <x:v>blockade</x:v>
      </x:c>
      <x:c r="B4" s="56" t="str">
        <x:v>有限封控與商運壓力（預設）</x:v>
      </x:c>
      <x:c r="C4" s="56" t="str">
        <x:v>海峽警戒與有限封控：72小時聯合決策演練</x:v>
      </x:c>
      <x:c r="D4" s="56" t="str">
        <x:v>joint</x:v>
      </x:c>
      <x:c r="E4" s="56" t="str">
        <x:v>standard</x:v>
      </x:c>
      <x:c r="F4" s="56" t="n">
        <x:v>12</x:v>
      </x:c>
      <x:c r="G4" s="56" t="n">
        <x:v>6</x:v>
      </x:c>
      <x:c r="H4" s="56" t="str">
        <x:v>T+0至T+72</x:v>
      </x:c>
      <x:c r="I4" s="56" t="n">
        <x:v>3</x:v>
      </x:c>
      <x:c r="J4" s="56" t="n">
        <x:v>3</x:v>
      </x:c>
      <x:c r="K4" s="56" t="str">
        <x:v>indirect</x:v>
      </x:c>
      <x:c r="L4" s="56" t="str">
        <x:v>variable</x:v>
      </x:c>
      <x:c r="M4" s="56" t="str">
        <x:v>simultaneous</x:v>
      </x:c>
      <x:c r="N4" s="56" t="str">
        <x:v>sealed</x:v>
      </x:c>
      <x:c r="O4" s="56" t="str">
        <x:v>自訂合成想定</x:v>
      </x:c>
      <x:c r="P4" s="56" t="str">
        <x:v>有限封控、商運改道與資訊操作同時出現；各方須在不完整資訊下保存資源並避免危機升級。</x:v>
      </x:c>
      <x:c r="Q4" s="56" t="str">
        <x:v>["維持關鍵海空通道與指揮韌性","在資源有限下平衡防護、後勤與民事需求","辨識升級風險並保留外交空間"]</x:v>
      </x:c>
      <x:c r="R4" s="56" t="str">
        <x:v>["關鍵功能維持在可接受水準","未因單一回合投入耗盡後續資源","能解釋每項決策的假設與替代方案"]</x:v>
      </x:c>
      <x:c r="S4" s="56" t="str">
        <x:v>[]</x:v>
      </x:c>
      <x:c r="T4" s="56" t="str">
        <x:v>[]</x:v>
      </x:c>
      <x:c r="U4" s="56" t="str">
        <x:v>{"coercionMode":"limited_blockade","energyReserveDays":30,"residualPowerPct":80,"precisionStockpileDays":30,"nuclearStrikeCount":0,"globalEconomicShock":1}</x:v>
      </x:c>
      <x:c r="V4" s="56" t="str">
        <x:v>{"blueAircraft":48,"blueInterceptors":160,"blueVessels":14,"blueLogistics":72,"blueDrones":120,"starlinkNodes":24,"highAltitudePlatforms":6,"redAircraft":96,"redIncoming":180,"redVessels":24,"redLogistics":84}</x:v>
      </x:c>
      <x:c r="W4" s="56" t="str">
        <x:v>[]</x:v>
      </x:c>
      <x:c r="X4" s="56" t="str">
        <x:v>EDUCATIONAL_SYNTHETIC</x:v>
      </x:c>
    </x:row>
    <x:row r="5">
      <x:c r="A5" s="60" t="str">
        <x:v>airdefense</x:v>
      </x:c>
      <x:c r="B5" s="60" t="str">
        <x:v>防空資源與預警</x:v>
      </x:c>
      <x:c r="C5" s="60" t="str">
        <x:v>多軸空情與分層防護：48小時資源配置演練</x:v>
      </x:c>
      <x:c r="D5" s="60" t="str">
        <x:v>airdefense</x:v>
      </x:c>
      <x:c r="E5" s="60" t="str">
        <x:v>advanced</x:v>
      </x:c>
      <x:c r="F5" s="60" t="n">
        <x:v>8</x:v>
      </x:c>
      <x:c r="G5" s="60" t="n">
        <x:v>6</x:v>
      </x:c>
      <x:c r="H5" s="60" t="str">
        <x:v>T+0至T+48</x:v>
      </x:c>
      <x:c r="I5" s="60" t="n">
        <x:v>3</x:v>
      </x:c>
      <x:c r="J5" s="60" t="n">
        <x:v>3</x:v>
      </x:c>
      <x:c r="K5" s="60" t="str">
        <x:v>indirect</x:v>
      </x:c>
      <x:c r="L5" s="60" t="str">
        <x:v>variable</x:v>
      </x:c>
      <x:c r="M5" s="60" t="str">
        <x:v>simultaneous</x:v>
      </x:c>
      <x:c r="N5" s="60" t="str">
        <x:v>sealed</x:v>
      </x:c>
      <x:c r="O5" s="60" t="str">
        <x:v>自訂合成想定</x:v>
      </x:c>
      <x:c r="P5" s="60" t="str">
        <x:v>多方向空情與合成來襲目標造成警戒壓力，必須在預警、攔截存量與民事影響之間做取捨。</x:v>
      </x:c>
      <x:c r="Q5" s="60" t="str">
        <x:v>["比較預警品質、攔截配置與庫存保留","處理多目標與資訊不確定性","理解單次成功率不等於整體防護效果"]</x:v>
      </x:c>
      <x:c r="R5" s="60" t="str">
        <x:v>["防護任務與庫存風險取得平衡","能說明感測、指管及環境對結果的影響","避免把合成機率視為真實武器性能"]</x:v>
      </x:c>
      <x:c r="S5" s="60" t="str">
        <x:v>[]</x:v>
      </x:c>
      <x:c r="T5" s="60" t="str">
        <x:v>[]</x:v>
      </x:c>
      <x:c r="U5" s="60" t="str">
        <x:v>{"coercionMode":"limited_blockade","energyReserveDays":30,"residualPowerPct":80,"precisionStockpileDays":30,"nuclearStrikeCount":0,"globalEconomicShock":1}</x:v>
      </x:c>
      <x:c r="V5" s="60" t="str">
        <x:v>{"blueAircraft":48,"blueInterceptors":160,"blueVessels":14,"blueLogistics":72,"blueDrones":120,"starlinkNodes":24,"highAltitudePlatforms":6,"redAircraft":96,"redIncoming":180,"redVessels":24,"redLogistics":84}</x:v>
      </x:c>
      <x:c r="W5" s="60" t="str">
        <x:v>[]</x:v>
      </x:c>
      <x:c r="X5" s="60" t="str">
        <x:v>EDUCATIONAL_SYNTHETIC</x:v>
      </x:c>
    </x:row>
    <x:row r="6">
      <x:c r="A6" s="56" t="str">
        <x:v>logistics</x:v>
      </x:c>
      <x:c r="B6" s="56" t="str">
        <x:v>後勤優先</x:v>
      </x:c>
      <x:c r="C6" s="56" t="str">
        <x:v>港口延誤與後勤韌性：96小時持續性演練</x:v>
      </x:c>
      <x:c r="D6" s="56" t="str">
        <x:v>logistics</x:v>
      </x:c>
      <x:c r="E6" s="56" t="str">
        <x:v>standard</x:v>
      </x:c>
      <x:c r="F6" s="56" t="n">
        <x:v>16</x:v>
      </x:c>
      <x:c r="G6" s="56" t="n">
        <x:v>6</x:v>
      </x:c>
      <x:c r="H6" s="56" t="str">
        <x:v>T+0至T+96</x:v>
      </x:c>
      <x:c r="I6" s="56" t="n">
        <x:v>3</x:v>
      </x:c>
      <x:c r="J6" s="56" t="n">
        <x:v>3</x:v>
      </x:c>
      <x:c r="K6" s="56" t="str">
        <x:v>limited</x:v>
      </x:c>
      <x:c r="L6" s="56" t="str">
        <x:v>adverse</x:v>
      </x:c>
      <x:c r="M6" s="56" t="str">
        <x:v>simultaneous</x:v>
      </x:c>
      <x:c r="N6" s="56" t="str">
        <x:v>sealed</x:v>
      </x:c>
      <x:c r="O6" s="56" t="str">
        <x:v>自訂合成想定</x:v>
      </x:c>
      <x:c r="P6" s="56" t="str">
        <x:v>港口作業、運輸節點與維修批次陸續受阻；推演重點是優先順序、替代路線與資源保存。</x:v>
      </x:c>
      <x:c r="Q6" s="56" t="str">
        <x:v>["維持補給、維修與運輸節點","在任務壓力下安排修復優先順序","評估民事交通與軍事後勤的衝突"]</x:v>
      </x:c>
      <x:c r="R6" s="56" t="str">
        <x:v>["持續性指數未跌破危險門檻","完成至少一次有效修復或替代路線","提出可驗證的後勤風險指標"]</x:v>
      </x:c>
      <x:c r="S6" s="56" t="str">
        <x:v>[]</x:v>
      </x:c>
      <x:c r="T6" s="56" t="str">
        <x:v>[]</x:v>
      </x:c>
      <x:c r="U6" s="56" t="str">
        <x:v>{"coercionMode":"limited_blockade","energyReserveDays":30,"residualPowerPct":80,"precisionStockpileDays":30,"nuclearStrikeCount":0,"globalEconomicShock":1}</x:v>
      </x:c>
      <x:c r="V6" s="56" t="str">
        <x:v>{"blueAircraft":48,"blueInterceptors":160,"blueVessels":14,"blueLogistics":72,"blueDrones":120,"starlinkNodes":24,"highAltitudePlatforms":6,"redAircraft":96,"redIncoming":180,"redVessels":24,"redLogistics":84}</x:v>
      </x:c>
      <x:c r="W6" s="56" t="str">
        <x:v>[]</x:v>
      </x:c>
      <x:c r="X6" s="56" t="str">
        <x:v>EDUCATIONAL_SYNTHETIC</x:v>
      </x:c>
    </x:row>
    <x:row r="7">
      <x:c r="A7" s="60" t="str">
        <x:v>grayzone</x:v>
      </x:c>
      <x:c r="B7" s="60" t="str">
        <x:v>灰色地帶與資訊迷霧</x:v>
      </x:c>
      <x:c r="C7" s="60" t="str">
        <x:v>灰色地帶與資訊迷霧：跨域判讀演練</x:v>
      </x:c>
      <x:c r="D7" s="60" t="str">
        <x:v>intelligence</x:v>
      </x:c>
      <x:c r="E7" s="60" t="str">
        <x:v>advanced</x:v>
      </x:c>
      <x:c r="F7" s="60" t="n">
        <x:v>10</x:v>
      </x:c>
      <x:c r="G7" s="60" t="n">
        <x:v>6</x:v>
      </x:c>
      <x:c r="H7" s="60" t="str">
        <x:v>T+0至T+60</x:v>
      </x:c>
      <x:c r="I7" s="60" t="n">
        <x:v>3</x:v>
      </x:c>
      <x:c r="J7" s="60" t="n">
        <x:v>3</x:v>
      </x:c>
      <x:c r="K7" s="60" t="str">
        <x:v>indirect</x:v>
      </x:c>
      <x:c r="L7" s="60" t="str">
        <x:v>stable</x:v>
      </x:c>
      <x:c r="M7" s="60" t="str">
        <x:v>simultaneous</x:v>
      </x:c>
      <x:c r="N7" s="60" t="str">
        <x:v>sealed</x:v>
      </x:c>
      <x:c r="O7" s="60" t="str">
        <x:v>自訂合成想定</x:v>
      </x:c>
      <x:c r="P7" s="60" t="str">
        <x:v>不明海空活動、訊息操作與模糊歸因事件交錯，需區分事實、推測與未知。</x:v>
      </x:c>
      <x:c r="Q7" s="60" t="str">
        <x:v>["區分事實、推測及未知","評估來源可靠度與分析信心","避免以單一訊息直接推導對手意圖"]</x:v>
      </x:c>
      <x:c r="R7" s="60" t="str">
        <x:v>["重大決策引用至少兩項獨立線索","明確標記關鍵假設","能在新情報出現後修正判斷"]</x:v>
      </x:c>
      <x:c r="S7" s="60" t="str">
        <x:v>[]</x:v>
      </x:c>
      <x:c r="T7" s="60" t="str">
        <x:v>[]</x:v>
      </x:c>
      <x:c r="U7" s="60" t="str">
        <x:v>{"coercionMode":"limited_blockade","energyReserveDays":30,"residualPowerPct":80,"precisionStockpileDays":30,"nuclearStrikeCount":0,"globalEconomicShock":1}</x:v>
      </x:c>
      <x:c r="V7" s="60" t="str">
        <x:v>{"blueAircraft":48,"blueInterceptors":160,"blueVessels":14,"blueLogistics":72,"blueDrones":120,"starlinkNodes":24,"highAltitudePlatforms":6,"redAircraft":96,"redIncoming":180,"redVessels":24,"redLogistics":84}</x:v>
      </x:c>
      <x:c r="W7" s="60" t="str">
        <x:v>[]</x:v>
      </x:c>
      <x:c r="X7" s="60" t="str">
        <x:v>EDUCATIONAL_SYNTHETIC</x:v>
      </x:c>
    </x:row>
    <x:row r="8">
      <x:c r="A8" s="56" t="str">
        <x:v>humanitarian</x:v>
      </x:c>
      <x:c r="B8" s="56" t="str">
        <x:v>人道疏散與民事協調</x:v>
      </x:c>
      <x:c r="C8" s="56" t="str">
        <x:v>人道疏散與民事協調：危機韌性演練</x:v>
      </x:c>
      <x:c r="D8" s="56" t="str">
        <x:v>civil</x:v>
      </x:c>
      <x:c r="E8" s="56" t="str">
        <x:v>standard</x:v>
      </x:c>
      <x:c r="F8" s="56" t="n">
        <x:v>10</x:v>
      </x:c>
      <x:c r="G8" s="56" t="n">
        <x:v>6</x:v>
      </x:c>
      <x:c r="H8" s="56" t="str">
        <x:v>T+0至T+60</x:v>
      </x:c>
      <x:c r="I8" s="56" t="n">
        <x:v>3</x:v>
      </x:c>
      <x:c r="J8" s="56" t="n">
        <x:v>3</x:v>
      </x:c>
      <x:c r="K8" s="56" t="str">
        <x:v>limited</x:v>
      </x:c>
      <x:c r="L8" s="56" t="str">
        <x:v>variable</x:v>
      </x:c>
      <x:c r="M8" s="56" t="str">
        <x:v>simultaneous</x:v>
      </x:c>
      <x:c r="N8" s="56" t="str">
        <x:v>sealed</x:v>
      </x:c>
      <x:c r="O8" s="56" t="str">
        <x:v>自訂合成想定</x:v>
      </x:c>
      <x:c r="P8" s="56" t="str">
        <x:v>人道需求、商運延誤與公共訊息壓力升高；資源配置需兼顧防護、疏散與基本服務。</x:v>
      </x:c>
      <x:c r="Q8" s="56" t="str">
        <x:v>["維持商運、人道與基礎功能","處理假訊息與群眾焦慮","平衡軍事行動與民事風險"]</x:v>
      </x:c>
      <x:c r="R8" s="56" t="str">
        <x:v>["民事風險未持續失控","建立公開訊息與跨部門協調方案","每回合均評估非軍事後果"]</x:v>
      </x:c>
      <x:c r="S8" s="56" t="str">
        <x:v>[]</x:v>
      </x:c>
      <x:c r="T8" s="56" t="str">
        <x:v>[]</x:v>
      </x:c>
      <x:c r="U8" s="56" t="str">
        <x:v>{"coercionMode":"limited_blockade","energyReserveDays":30,"residualPowerPct":80,"precisionStockpileDays":30,"nuclearStrikeCount":0,"globalEconomicShock":1}</x:v>
      </x:c>
      <x:c r="V8" s="56" t="str">
        <x:v>{"blueAircraft":48,"blueInterceptors":160,"blueVessels":14,"blueLogistics":72,"blueDrones":120,"starlinkNodes":24,"highAltitudePlatforms":6,"redAircraft":96,"redIncoming":180,"redVessels":24,"redLogistics":84}</x:v>
      </x:c>
      <x:c r="W8" s="56" t="str">
        <x:v>[]</x:v>
      </x:c>
      <x:c r="X8" s="56" t="str">
        <x:v>EDUCATIONAL_SYNTHETIC</x:v>
      </x:c>
    </x:row>
    <x:row r="9">
      <x:c r="A9" s="60" t="str">
        <x:v>deescalation</x:v>
      </x:c>
      <x:c r="B9" s="60" t="str">
        <x:v>危機降溫與外交窗口</x:v>
      </x:c>
      <x:c r="C9" s="60" t="str">
        <x:v>危機降溫與外交窗口：升級控制演練</x:v>
      </x:c>
      <x:c r="D9" s="60" t="str">
        <x:v>diplomacy</x:v>
      </x:c>
      <x:c r="E9" s="60" t="str">
        <x:v>advanced</x:v>
      </x:c>
      <x:c r="F9" s="60" t="n">
        <x:v>8</x:v>
      </x:c>
      <x:c r="G9" s="60" t="n">
        <x:v>6</x:v>
      </x:c>
      <x:c r="H9" s="60" t="str">
        <x:v>T+0至T+48</x:v>
      </x:c>
      <x:c r="I9" s="60" t="n">
        <x:v>3</x:v>
      </x:c>
      <x:c r="J9" s="60" t="n">
        <x:v>3</x:v>
      </x:c>
      <x:c r="K9" s="60" t="str">
        <x:v>indirect</x:v>
      </x:c>
      <x:c r="L9" s="60" t="str">
        <x:v>stable</x:v>
      </x:c>
      <x:c r="M9" s="60" t="str">
        <x:v>simultaneous</x:v>
      </x:c>
      <x:c r="N9" s="60" t="str">
        <x:v>sealed</x:v>
      </x:c>
      <x:c r="O9" s="60" t="str">
        <x:v>自訂合成想定</x:v>
      </x:c>
      <x:c r="P9" s="60" t="str">
        <x:v>高風險互動後出現有限降溫窗口，需將資源使用、公開訊息與外交協調連成一致策略。</x:v>
      </x:c>
      <x:c r="Q9" s="60" t="str">
        <x:v>["辨識可能觸發升級的行動","利用外交訊號及有限承諾創造降溫窗口","評估外部支援的政治限制"]</x:v>
      </x:c>
      <x:c r="R9" s="60" t="str">
        <x:v>["保留至少一條降溫或談判路徑","避免只以戰果衡量任務成果","能說明軍事與政治目標的關係"]</x:v>
      </x:c>
      <x:c r="S9" s="60" t="str">
        <x:v>[]</x:v>
      </x:c>
      <x:c r="T9" s="60" t="str">
        <x:v>[]</x:v>
      </x:c>
      <x:c r="U9" s="60" t="str">
        <x:v>{"coercionMode":"limited_blockade","energyReserveDays":30,"residualPowerPct":80,"precisionStockpileDays":30,"nuclearStrikeCount":0,"globalEconomicShock":1}</x:v>
      </x:c>
      <x:c r="V9" s="60" t="str">
        <x:v>{"blueAircraft":48,"blueInterceptors":160,"blueVessels":14,"blueLogistics":72,"blueDrones":120,"starlinkNodes":24,"highAltitudePlatforms":6,"redAircraft":96,"redIncoming":180,"redVessels":24,"redLogistics":84}</x:v>
      </x:c>
      <x:c r="W9" s="60" t="str">
        <x:v>[]</x:v>
      </x:c>
      <x:c r="X9" s="60" t="str">
        <x:v>EDUCATIONAL_SYNTHETIC</x:v>
      </x:c>
    </x:row>
    <x:row r="10">
      <x:c r="A10" s="56" t="str">
        <x:v>csis_blackout_2025</x:v>
      </x:c>
      <x:c r="B10" s="56" t="str">
        <x:v>CSIS《燈火管制》（2025）：封鎖與能源韌性</x:v>
      </x:c>
      <x:c r="C10" s="56" t="str">
        <x:v>CSIS《燈火管制》（2025）：封鎖、護航與能源韌性</x:v>
      </x:c>
      <x:c r="D10" s="56" t="str">
        <x:v>logistics</x:v>
      </x:c>
      <x:c r="E10" s="56" t="str">
        <x:v>advanced</x:v>
      </x:c>
      <x:c r="F10" s="56" t="n">
        <x:v>20</x:v>
      </x:c>
      <x:c r="G10" s="56" t="n">
        <x:v>12</x:v>
      </x:c>
      <x:c r="H10" s="56" t="str">
        <x:v>T+0至T+240</x:v>
      </x:c>
      <x:c r="I10" s="56" t="n">
        <x:v>4</x:v>
      </x:c>
      <x:c r="J10" s="56" t="n">
        <x:v>5</x:v>
      </x:c>
      <x:c r="K10" s="56" t="str">
        <x:v>limited</x:v>
      </x:c>
      <x:c r="L10" s="56" t="str">
        <x:v>variable</x:v>
      </x:c>
      <x:c r="M10" s="56" t="str">
        <x:v>red_first</x:v>
      </x:c>
      <x:c r="N10" s="56" t="str">
        <x:v>public</x:v>
      </x:c>
      <x:c r="O10" s="56" t="str">
        <x:v>CSIS《燈火管制：中國封鎖台灣兵推》（2025）案例假設</x:v>
      </x:c>
      <x:c r="P10" s="56" t="str">
        <x:v>共軍以海警與海上民兵執法為由切斷航運，美日協調護航破封；推演核心是商運持續、能源配給與避免灰色地帶危機失控。</x:v>
      </x:c>
      <x:c r="Q10" s="56" t="str">
        <x:v>["維持最低限度商運與能源輸入","協調多國護航、港口與保險機制","在執法封控敘事下控制升級風險"]</x:v>
      </x:c>
      <x:c r="R10" s="56" t="str">
        <x:v>["第10日仍維持關鍵民生與指揮用電","建立可持續且可解釋的商船護航機制","能源配給未使民事風險持續失控"]</x:v>
      </x:c>
      <x:c r="S10" s="56" t="str">
        <x:v>["案例假設：LNG安全存量於封鎖後10天耗盡。","案例假設：能源耗盡後電力降至平時35%。"]</x:v>
      </x:c>
      <x:c r="T10" s="56" t="str">
        <x:v>[{"title":"CSIS — Lights Out? Wargaming a Chinese Blockade of Taiwan","url":"https://www.csis.org/analysis/lights-out-wargaming-chinese-blockade-taiwan"}]</x:v>
      </x:c>
      <x:c r="U10" s="56" t="str">
        <x:v>{"coercionMode":"law_enforcement_blockade","energyReserveDays":10,"residualPowerPct":35,"precisionStockpileDays":30,"nuclearStrikeCount":0,"globalEconomicShock":4}</x:v>
      </x:c>
      <x:c r="V10" s="56" t="str">
        <x:v>{"blueAircraft":48,"blueInterceptors":160,"blueVessels":14,"blueLogistics":72,"blueDrones":120,"starlinkNodes":24,"highAltitudePlatforms":6,"redAircraft":96,"redIncoming":180,"redVessels":24,"redLogistics":84}</x:v>
      </x:c>
      <x:c r="W10" s="56" t="str">
        <x:v>[{"trigger_turn":2,"event_name":"海警宣布擴大臨檢","category":"封控","zone_id":"Z-CW","affected_actor":"ALL","description":"以執法名義提高商船進出與保險壓力。","sustainment_delta":-3,"civilian_risk_delta":5},{"trigger_turn":10,"event_name":"護航破封協調窗口","category":"外交","zone_id":"Z-REAR","affected_actor":"AMBER","description":"美日與商運單位研議多國護航及航運風險分攤。","command_delta":4,"sustainment_delta":3},{"trigger_turn":20,"event_name":"能源安全存量耗盡","category":"能源","zone_id":"Z-ISL","affected_actor":"BLUE","description":"案例假設下LNG安全存量耗盡，電力供應面臨快速下降。","readiness_delta":-12,"sustainment_delta":-18,"command_delta":-4,"civilian_risk_delta":18}]</x:v>
      </x:c>
      <x:c r="X10" s="56" t="str">
        <x:v>EDUCATIONAL_SYNTHETIC</x:v>
      </x:c>
    </x:row>
    <x:row r="11">
      <x:c r="A11" s="60" t="str">
        <x:v>csis_mit_nuclear_2024</x:v>
      </x:c>
      <x:c r="B11" s="60" t="str">
        <x:v>CSIS &amp; MIT（2024）：核升級風險</x:v>
      </x:c>
      <x:c r="C11" s="60" t="str">
        <x:v>CSIS &amp; MIT（2024）：傳統戰局與核升級風險</x:v>
      </x:c>
      <x:c r="D11" s="60" t="str">
        <x:v>diplomacy</x:v>
      </x:c>
      <x:c r="E11" s="60" t="str">
        <x:v>advanced</x:v>
      </x:c>
      <x:c r="F11" s="60" t="n">
        <x:v>12</x:v>
      </x:c>
      <x:c r="G11" s="60" t="n">
        <x:v>6</x:v>
      </x:c>
      <x:c r="H11" s="60" t="str">
        <x:v>T+0至T+72</x:v>
      </x:c>
      <x:c r="I11" s="60" t="n">
        <x:v>5</x:v>
      </x:c>
      <x:c r="J11" s="60" t="n">
        <x:v>5</x:v>
      </x:c>
      <x:c r="K11" s="60" t="str">
        <x:v>limited</x:v>
      </x:c>
      <x:c r="L11" s="60" t="str">
        <x:v>stable</x:v>
      </x:c>
      <x:c r="M11" s="60" t="str">
        <x:v>simultaneous</x:v>
      </x:c>
      <x:c r="N11" s="60" t="str">
        <x:v>sealed</x:v>
      </x:c>
      <x:c r="O11" s="60" t="str">
        <x:v>CSIS &amp; MIT《台海衝突納入核武推演》（2024）案例假設</x:v>
      </x:c>
      <x:c r="P11" s="60" t="str">
        <x:v>傳統戰局對中方不利後，危機跨越核門檻；推演聚焦預警判讀、政治溝通、分散韌性與終止衝突，不處理核武目標或運用細節。</x:v>
      </x:c>
      <x:c r="Q11" s="60" t="str">
        <x:v>["辨識核升級警訊並保留溝通管道","維持最低限度指揮與民事應變功能","建立衝突終止與避免後續升級的政策選項"]</x:v>
      </x:c>
      <x:c r="R11" s="60" t="str">
        <x:v>["在核門檻前提出可信的降溫方案","核事件後維持跨部門指揮與公共訊息","決策未以報復交換取代政治目標"]</x:v>
      </x:c>
      <x:c r="S11" s="60" t="str">
        <x:v>["只採抽象核風險裁決，不呈現目標、武器、當量或運用方式。","案例假設：傳統戰局不利時發生7次戰術核武攻擊。"]</x:v>
      </x:c>
      <x:c r="T11" s="60" t="str">
        <x:v>[{"title":"CSIS — Confronting Armageddon","url":"https://www.csis.org/analysis/confronting-armageddon"},{"title":"MIT Security Studies Program — Flagship Games","url":"https://ssp.mit.edu/wargaming-lab/flagship-games"}]</x:v>
      </x:c>
      <x:c r="U11" s="60" t="str">
        <x:v>{"coercionMode":"nuclear_escalation","energyReserveDays":20,"residualPowerPct":50,"precisionStockpileDays":14,"nuclearStrikeCount":7,"globalEconomicShock":5}</x:v>
      </x:c>
      <x:c r="V11" s="60" t="str">
        <x:v>{"blueAircraft":48,"blueInterceptors":160,"blueVessels":14,"blueLogistics":72,"blueDrones":120,"starlinkNodes":24,"highAltitudePlatforms":6,"redAircraft":96,"redIncoming":180,"redVessels":24,"redLogistics":84}</x:v>
      </x:c>
      <x:c r="W11" s="60" t="str">
        <x:v>[{"trigger_turn":6,"event_name":"核升級警訊增強","category":"戰略預警","zone_id":"Z-REAR","affected_actor":"ALL","description":"情報顯示核門檻風險顯著升高，外交與危機溝通窗口縮小。","command_delta":-5,"civilian_risk_delta":12},{"trigger_turn":8,"event_name":"七次戰術核武攻擊（抽象裁決）","category":"核升級","zone_id":"Z-ISL","affected_actor":"ALL","description":"依案例假設進行整體性衝擊裁決；不包含目標、武器或運用細節。","readiness_delta":-25,"sustainment_delta":-25,"command_delta":-20,"civilian_risk_delta":40}]</x:v>
      </x:c>
      <x:c r="X11" s="60" t="str">
        <x:v>EDUCATIONAL_SYNTHETIC</x:v>
      </x:c>
    </x:row>
    <x:row r="12">
      <x:c r="A12" s="56" t="str">
        <x:v>cnas_policy_war</x:v>
      </x:c>
      <x:c r="B12" s="56" t="str">
        <x:v>美國國會 × CNAS：彈藥與全球經濟衝擊</x:v>
      </x:c>
      <x:c r="C12" s="56" t="str">
        <x:v>美國國會 × CNAS：一週彈藥耗盡與全球經濟衝擊</x:v>
      </x:c>
      <x:c r="D12" s="56" t="str">
        <x:v>joint</x:v>
      </x:c>
      <x:c r="E12" s="56" t="str">
        <x:v>advanced</x:v>
      </x:c>
      <x:c r="F12" s="56" t="n">
        <x:v>14</x:v>
      </x:c>
      <x:c r="G12" s="56" t="n">
        <x:v>12</x:v>
      </x:c>
      <x:c r="H12" s="56" t="str">
        <x:v>T+0至T+168</x:v>
      </x:c>
      <x:c r="I12" s="56" t="n">
        <x:v>4</x:v>
      </x:c>
      <x:c r="J12" s="56" t="n">
        <x:v>5</x:v>
      </x:c>
      <x:c r="K12" s="56" t="str">
        <x:v>limited</x:v>
      </x:c>
      <x:c r="L12" s="56" t="str">
        <x:v>variable</x:v>
      </x:c>
      <x:c r="M12" s="56" t="str">
        <x:v>red_first</x:v>
      </x:c>
      <x:c r="N12" s="56" t="str">
        <x:v>sealed</x:v>
      </x:c>
      <x:c r="O12" s="56" t="str">
        <x:v>美國國會與新美國安全中心（CNAS）政策級兵推案例假設</x:v>
      </x:c>
      <x:c r="P12" s="56" t="str">
        <x:v>政策級推演聚焦開戰後一週內遠程精準導引彈藥耗盡，以及航運、金融、能源與科技供應鏈引發的全球連鎖經濟衝擊。</x:v>
      </x:c>
      <x:c r="Q12" s="56" t="str">
        <x:v>["在一週彈藥限制下設定可持續的政治與軍事優先序","協調工業補充、盟友分工與供應鏈替代","管理全球金融、航運與民生連鎖風險"]</x:v>
      </x:c>
      <x:c r="R12" s="56" t="str">
        <x:v>["第7日仍保有關鍵任務所需資源","建立工業補充與盟友分攤方案","全球經濟衝擊未使政策目標失去可持續性"]</x:v>
      </x:c>
      <x:c r="S12" s="56" t="str">
        <x:v>["案例假設：開戰後一週內耗盡遠程精準導引彈藥。","每回合必須同時評估全球經濟與民事後果。"]</x:v>
      </x:c>
      <x:c r="T12" s="56" t="str">
        <x:v>[{"title":"CNAS — Bad Blood: The TTX for the House Select Committee on the CCP","url":"https://www.cnas.org/publications/congressional-testimony/bad-blood-ttx"}]</x:v>
      </x:c>
      <x:c r="U12" s="56" t="str">
        <x:v>{"coercionMode":"conventional_conflict","energyReserveDays":14,"residualPowerPct":45,"precisionStockpileDays":7,"nuclearStrikeCount":0,"globalEconomicShock":5}</x:v>
      </x:c>
      <x:c r="V12" s="56" t="str">
        <x:v>{"blueAircraft":48,"blueInterceptors":160,"blueVessels":14,"blueLogistics":72,"blueDrones":120,"starlinkNodes":24,"highAltitudePlatforms":6,"redAircraft":96,"redIncoming":180,"redVessels":24,"redLogistics":84}</x:v>
      </x:c>
      <x:c r="W12" s="56" t="str">
        <x:v>[{"trigger_turn":6,"event_name":"全球金融與航運震盪","category":"經濟","zone_id":"Z-REAR","affected_actor":"ALL","description":"保險、金融、能源與科技供應鏈出現跨區域連鎖壓力。","sustainment_delta":-8,"command_delta":-3,"civilian_risk_delta":15},{"trigger_turn":14,"event_name":"遠程精準彈藥耗盡","category":"後勤","zone_id":"Z-REAR","affected_actor":"AMBER","description":"案例假設下，一週後遠程精準導引彈藥存量耗盡。","readiness_delta":-18,"sustainment_delta":-20,"command_delta":-5}]</x:v>
      </x:c>
      <x:c r="X12" s="56" t="str">
        <x:v>EDUCATIONAL_SYNTHETIC</x:v>
      </x:c>
    </x:row>
  </x:sheetData>
  <x:mergeCells>
    <x:mergeCell ref="A1:X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32" hidden="0" customWidth="1"/>
    <x:col min="4" max="4" width="14" hidden="0" customWidth="1"/>
    <x:col min="5" max="5" width="34" hidden="0" customWidth="1"/>
    <x:col min="6" max="6" width="10" hidden="0" customWidth="1"/>
    <x:col min="7" max="7" width="10" hidden="0" customWidth="1"/>
    <x:col min="8" max="8" width="10" hidden="0" customWidth="1"/>
    <x:col min="9" max="9" width="46" hidden="0" customWidth="1"/>
    <x:col min="10" max="10" width="52" hidden="0" customWidth="1"/>
    <x:col min="11" max="11" width="12" hidden="0" customWidth="1"/>
    <x:col min="12" max="12" width="10" hidden="0" customWidth="1"/>
    <x:col min="13" max="13" width="18" hidden="0" customWidth="1"/>
    <x:col min="14" max="14" width="42" hidden="0" customWidth="1"/>
  </x:cols>
  <x:sheetData>
    <x:row r="1" ht="26" customHeight="1">
      <x:c r="A1" s="47" t="str">
        <x:v>目前介面全部設定控制項目錄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3" ht="30" customHeight="1">
      <x:c r="A3" s="52" t="str">
        <x:v>setting_id</x:v>
      </x:c>
      <x:c r="B3" s="52" t="str">
        <x:v>介面區段</x:v>
      </x:c>
      <x:c r="C3" s="52" t="str">
        <x:v>設定名稱</x:v>
      </x:c>
      <x:c r="D3" s="52" t="str">
        <x:v>控制類型</x:v>
      </x:c>
      <x:c r="E3" s="52" t="str">
        <x:v>預設值</x:v>
      </x:c>
      <x:c r="F3" s="52" t="str">
        <x:v>最小值</x:v>
      </x:c>
      <x:c r="G3" s="52" t="str">
        <x:v>最大值</x:v>
      </x:c>
      <x:c r="H3" s="52" t="str">
        <x:v>步進</x:v>
      </x:c>
      <x:c r="I3" s="52" t="str">
        <x:v>選項值JSON</x:v>
      </x:c>
      <x:c r="J3" s="52" t="str">
        <x:v>選項標籤JSON</x:v>
      </x:c>
      <x:c r="K3" s="52" t="str">
        <x:v>預設停用</x:v>
      </x:c>
      <x:c r="L3" s="52" t="str">
        <x:v>敏感資料</x:v>
      </x:c>
      <x:c r="M3" s="52" t="str">
        <x:v>來源</x:v>
      </x:c>
      <x:c r="N3" s="52" t="str">
        <x:v>備註</x:v>
      </x:c>
    </x:row>
    <x:row r="4">
      <x:c r="A4" s="56" t="str">
        <x:v>importInput</x:v>
      </x:c>
      <x:c r="B4" s="56" t="str">
        <x:v>global</x:v>
      </x:c>
      <x:c r="C4" s="56" t="str">
        <x:v>匯入 JSON</x:v>
      </x:c>
      <x:c r="D4" s="56" t="str">
        <x:v>file</x:v>
      </x:c>
      <x:c r="E4" s="56" t="str"/>
      <x:c r="F4" s="56"/>
      <x:c r="G4" s="56"/>
      <x:c r="H4" s="56"/>
      <x:c r="I4" s="56" t="str">
        <x:v>[]</x:v>
      </x:c>
      <x:c r="J4" s="56" t="str">
        <x:v>[]</x:v>
      </x:c>
      <x:c r="K4" s="56" t="n">
        <x:v>0</x:v>
      </x:c>
      <x:c r="L4" s="56" t="n">
        <x:v>0</x:v>
      </x:c>
      <x:c r="M4" s="56" t="str">
        <x:v>index.html</x:v>
      </x:c>
      <x:c r="N4" s="56" t="str">
        <x:v>與目前介面控制項同步。</x:v>
      </x:c>
    </x:row>
    <x:row r="5">
      <x:c r="A5" s="60" t="str">
        <x:v>scenarioTemplate</x:v>
      </x:c>
      <x:c r="B5" s="60" t="str">
        <x:v>builder</x:v>
      </x:c>
      <x:c r="C5" s="60" t="str">
        <x:v>情境範本</x:v>
      </x:c>
      <x:c r="D5" s="60" t="str">
        <x:v>select</x:v>
      </x:c>
      <x:c r="E5" s="60" t="str">
        <x:v>blockade</x:v>
      </x:c>
      <x:c r="F5" s="60"/>
      <x:c r="G5" s="60"/>
      <x:c r="H5" s="60"/>
      <x:c r="I5" s="60" t="str">
        <x:v>["blockade","airdefense","logistics","grayzone","humanitarian","deescalation","csis_blackout_2025","csis_mit_nuclear_2024","cnas_policy_war"]</x:v>
      </x:c>
      <x:c r="J5" s="60" t="str">
        <x:v>["有限封控與商運壓力（預設）","多軸空情與分層防護","港口延誤與後勤韌性","灰色地帶與資訊迷霧","人道疏散與民事協調","危機降溫與外交窗口","CSIS《燈火管制》（2025）：封鎖與能源韌性","CSIS &amp; MIT（2024）：核升級風險","美國國會 × CNAS：彈藥與全球經濟衝擊"]</x:v>
      </x:c>
      <x:c r="K5" s="60" t="n">
        <x:v>0</x:v>
      </x:c>
      <x:c r="L5" s="60" t="n">
        <x:v>0</x:v>
      </x:c>
      <x:c r="M5" s="60" t="str">
        <x:v>index.html</x:v>
      </x:c>
      <x:c r="N5" s="60" t="str">
        <x:v>與目前介面控制項同步。</x:v>
      </x:c>
    </x:row>
    <x:row r="6">
      <x:c r="A6" s="56" t="str">
        <x:v>scenarioName</x:v>
      </x:c>
      <x:c r="B6" s="56" t="str">
        <x:v>builder</x:v>
      </x:c>
      <x:c r="C6" s="56" t="str">
        <x:v>想定名稱</x:v>
      </x:c>
      <x:c r="D6" s="56" t="str">
        <x:v>text</x:v>
      </x:c>
      <x:c r="E6" s="56" t="str">
        <x:v>海峽警戒與有限封控：72小時聯合決策演練</x:v>
      </x:c>
      <x:c r="F6" s="56"/>
      <x:c r="G6" s="56"/>
      <x:c r="H6" s="56"/>
      <x:c r="I6" s="56" t="str">
        <x:v>[]</x:v>
      </x:c>
      <x:c r="J6" s="56" t="str">
        <x:v>[]</x:v>
      </x:c>
      <x:c r="K6" s="56" t="n">
        <x:v>0</x:v>
      </x:c>
      <x:c r="L6" s="56" t="n">
        <x:v>0</x:v>
      </x:c>
      <x:c r="M6" s="56" t="str">
        <x:v>index.html</x:v>
      </x:c>
      <x:c r="N6" s="56" t="str">
        <x:v>與目前介面控制項同步。</x:v>
      </x:c>
    </x:row>
    <x:row r="7">
      <x:c r="A7" s="60" t="str">
        <x:v>scenarioSeed</x:v>
      </x:c>
      <x:c r="B7" s="60" t="str">
        <x:v>builder</x:v>
      </x:c>
      <x:c r="C7" s="60" t="str">
        <x:v>隨機種子</x:v>
      </x:c>
      <x:c r="D7" s="60" t="str">
        <x:v>number</x:v>
      </x:c>
      <x:c r="E7" s="60" t="str">
        <x:v>20260727</x:v>
      </x:c>
      <x:c r="F7" s="60" t="n">
        <x:v>1</x:v>
      </x:c>
      <x:c r="G7" s="60"/>
      <x:c r="H7" s="60"/>
      <x:c r="I7" s="60" t="str">
        <x:v>[]</x:v>
      </x:c>
      <x:c r="J7" s="60" t="str">
        <x:v>[]</x:v>
      </x:c>
      <x:c r="K7" s="60" t="n">
        <x:v>0</x:v>
      </x:c>
      <x:c r="L7" s="60" t="n">
        <x:v>0</x:v>
      </x:c>
      <x:c r="M7" s="60" t="str">
        <x:v>index.html</x:v>
      </x:c>
      <x:c r="N7" s="60" t="str">
        <x:v>與目前介面控制項同步。</x:v>
      </x:c>
    </x:row>
    <x:row r="8">
      <x:c r="A8" s="56" t="str">
        <x:v>focus</x:v>
      </x:c>
      <x:c r="B8" s="56" t="str">
        <x:v>builder</x:v>
      </x:c>
      <x:c r="C8" s="56" t="str">
        <x:v>推演重點</x:v>
      </x:c>
      <x:c r="D8" s="56" t="str">
        <x:v>select</x:v>
      </x:c>
      <x:c r="E8" s="56" t="str">
        <x:v>joint</x:v>
      </x:c>
      <x:c r="F8" s="56"/>
      <x:c r="G8" s="56"/>
      <x:c r="H8" s="56"/>
      <x:c r="I8" s="56" t="str">
        <x:v>["joint","airdefense","logistics","intelligence","civil","diplomacy"]</x:v>
      </x:c>
      <x:c r="J8" s="56" t="str">
        <x:v>["聯合決策與整體情勢","防空資源與預警","後勤持續性與修復","情報判讀與戰場迷霧","民事韌性與危機溝通","升級控制與外交協調"]</x:v>
      </x:c>
      <x:c r="K8" s="56" t="n">
        <x:v>0</x:v>
      </x:c>
      <x:c r="L8" s="56" t="n">
        <x:v>0</x:v>
      </x:c>
      <x:c r="M8" s="56" t="str">
        <x:v>index.html</x:v>
      </x:c>
      <x:c r="N8" s="56" t="str">
        <x:v>與目前介面控制項同步。</x:v>
      </x:c>
    </x:row>
    <x:row r="9">
      <x:c r="A9" s="60" t="str">
        <x:v>difficulty</x:v>
      </x:c>
      <x:c r="B9" s="60" t="str">
        <x:v>builder</x:v>
      </x:c>
      <x:c r="C9" s="60" t="str">
        <x:v>難度</x:v>
      </x:c>
      <x:c r="D9" s="60" t="str">
        <x:v>select</x:v>
      </x:c>
      <x:c r="E9" s="60" t="str">
        <x:v>standard</x:v>
      </x:c>
      <x:c r="F9" s="60"/>
      <x:c r="G9" s="60"/>
      <x:c r="H9" s="60"/>
      <x:c r="I9" s="60" t="str">
        <x:v>["intro","standard","advanced"]</x:v>
      </x:c>
      <x:c r="J9" s="60" t="str">
        <x:v>["基礎","標準","進階"]</x:v>
      </x:c>
      <x:c r="K9" s="60" t="n">
        <x:v>0</x:v>
      </x:c>
      <x:c r="L9" s="60" t="n">
        <x:v>0</x:v>
      </x:c>
      <x:c r="M9" s="60" t="str">
        <x:v>index.html</x:v>
      </x:c>
      <x:c r="N9" s="60" t="str">
        <x:v>與目前介面控制項同步。</x:v>
      </x:c>
    </x:row>
    <x:row r="10">
      <x:c r="A10" s="56" t="str">
        <x:v>turns</x:v>
      </x:c>
      <x:c r="B10" s="56" t="str">
        <x:v>builder</x:v>
      </x:c>
      <x:c r="C10" s="56" t="str">
        <x:v>回合數</x:v>
      </x:c>
      <x:c r="D10" s="56" t="str">
        <x:v>number</x:v>
      </x:c>
      <x:c r="E10" s="56" t="str">
        <x:v>12</x:v>
      </x:c>
      <x:c r="F10" s="56" t="n">
        <x:v>4</x:v>
      </x:c>
      <x:c r="G10" s="56" t="n">
        <x:v>24</x:v>
      </x:c>
      <x:c r="H10" s="56"/>
      <x:c r="I10" s="56" t="str">
        <x:v>[]</x:v>
      </x:c>
      <x:c r="J10" s="56" t="str">
        <x:v>[]</x:v>
      </x:c>
      <x:c r="K10" s="56" t="n">
        <x:v>0</x:v>
      </x:c>
      <x:c r="L10" s="56" t="n">
        <x:v>0</x:v>
      </x:c>
      <x:c r="M10" s="56" t="str">
        <x:v>index.html</x:v>
      </x:c>
      <x:c r="N10" s="56" t="str">
        <x:v>與目前介面控制項同步。</x:v>
      </x:c>
    </x:row>
    <x:row r="11">
      <x:c r="A11" s="60" t="str">
        <x:v>hoursPerTurn</x:v>
      </x:c>
      <x:c r="B11" s="60" t="str">
        <x:v>builder</x:v>
      </x:c>
      <x:c r="C11" s="60" t="str">
        <x:v>每回合時數</x:v>
      </x:c>
      <x:c r="D11" s="60" t="str">
        <x:v>select</x:v>
      </x:c>
      <x:c r="E11" s="60" t="str">
        <x:v>6</x:v>
      </x:c>
      <x:c r="F11" s="60"/>
      <x:c r="G11" s="60"/>
      <x:c r="H11" s="60"/>
      <x:c r="I11" s="60" t="str">
        <x:v>["3","6","12"]</x:v>
      </x:c>
      <x:c r="J11" s="60" t="str">
        <x:v>["3小時","6小時","12小時"]</x:v>
      </x:c>
      <x:c r="K11" s="60" t="n">
        <x:v>0</x:v>
      </x:c>
      <x:c r="L11" s="60" t="n">
        <x:v>0</x:v>
      </x:c>
      <x:c r="M11" s="60" t="str">
        <x:v>index.html</x:v>
      </x:c>
      <x:c r="N11" s="60" t="str">
        <x:v>與目前介面控制項同步。</x:v>
      </x:c>
    </x:row>
    <x:row r="12">
      <x:c r="A12" s="56" t="str">
        <x:v>uncertainty</x:v>
      </x:c>
      <x:c r="B12" s="56" t="str">
        <x:v>builder</x:v>
      </x:c>
      <x:c r="C12" s="56" t="str">
        <x:v>情報不確定度</x:v>
      </x:c>
      <x:c r="D12" s="56" t="str">
        <x:v>range</x:v>
      </x:c>
      <x:c r="E12" s="56" t="str">
        <x:v>3</x:v>
      </x:c>
      <x:c r="F12" s="56" t="n">
        <x:v>1</x:v>
      </x:c>
      <x:c r="G12" s="56" t="n">
        <x:v>5</x:v>
      </x:c>
      <x:c r="H12" s="56"/>
      <x:c r="I12" s="56" t="str">
        <x:v>[]</x:v>
      </x:c>
      <x:c r="J12" s="56" t="str">
        <x:v>[]</x:v>
      </x:c>
      <x:c r="K12" s="56" t="n">
        <x:v>0</x:v>
      </x:c>
      <x:c r="L12" s="56" t="n">
        <x:v>0</x:v>
      </x:c>
      <x:c r="M12" s="56" t="str">
        <x:v>index.html</x:v>
      </x:c>
      <x:c r="N12" s="56" t="str">
        <x:v>與目前介面控制項同步。</x:v>
      </x:c>
    </x:row>
    <x:row r="13">
      <x:c r="A13" s="60" t="str">
        <x:v>civilPressure</x:v>
      </x:c>
      <x:c r="B13" s="60" t="str">
        <x:v>builder</x:v>
      </x:c>
      <x:c r="C13" s="60" t="str">
        <x:v>民事壓力</x:v>
      </x:c>
      <x:c r="D13" s="60" t="str">
        <x:v>range</x:v>
      </x:c>
      <x:c r="E13" s="60" t="str">
        <x:v>3</x:v>
      </x:c>
      <x:c r="F13" s="60" t="n">
        <x:v>1</x:v>
      </x:c>
      <x:c r="G13" s="60" t="n">
        <x:v>5</x:v>
      </x:c>
      <x:c r="H13" s="60"/>
      <x:c r="I13" s="60" t="str">
        <x:v>[]</x:v>
      </x:c>
      <x:c r="J13" s="60" t="str">
        <x:v>[]</x:v>
      </x:c>
      <x:c r="K13" s="60" t="n">
        <x:v>0</x:v>
      </x:c>
      <x:c r="L13" s="60" t="n">
        <x:v>0</x:v>
      </x:c>
      <x:c r="M13" s="60" t="str">
        <x:v>index.html</x:v>
      </x:c>
      <x:c r="N13" s="60" t="str">
        <x:v>與目前介面控制項同步。</x:v>
      </x:c>
    </x:row>
    <x:row r="14">
      <x:c r="A14" s="56" t="str">
        <x:v>amberSupport</x:v>
      </x:c>
      <x:c r="B14" s="56" t="str">
        <x:v>builder</x:v>
      </x:c>
      <x:c r="C14" s="56" t="str">
        <x:v>美軍支援程度</x:v>
      </x:c>
      <x:c r="D14" s="56" t="str">
        <x:v>select</x:v>
      </x:c>
      <x:c r="E14" s="56" t="str">
        <x:v>indirect</x:v>
      </x:c>
      <x:c r="F14" s="56"/>
      <x:c r="G14" s="56"/>
      <x:c r="H14" s="56"/>
      <x:c r="I14" s="56" t="str">
        <x:v>["none","indirect","limited"]</x:v>
      </x:c>
      <x:c r="J14" s="56" t="str">
        <x:v>["不納入","間接支援：ISR、後勤、外交","有限海空存在與防護支援"]</x:v>
      </x:c>
      <x:c r="K14" s="56" t="n">
        <x:v>0</x:v>
      </x:c>
      <x:c r="L14" s="56" t="n">
        <x:v>0</x:v>
      </x:c>
      <x:c r="M14" s="56" t="str">
        <x:v>index.html</x:v>
      </x:c>
      <x:c r="N14" s="56" t="str">
        <x:v>與目前介面控制項同步。</x:v>
      </x:c>
    </x:row>
    <x:row r="15">
      <x:c r="A15" s="60" t="str">
        <x:v>weatherPreset</x:v>
      </x:c>
      <x:c r="B15" s="60" t="str">
        <x:v>builder</x:v>
      </x:c>
      <x:c r="C15" s="60" t="str">
        <x:v>初始天候</x:v>
      </x:c>
      <x:c r="D15" s="60" t="str">
        <x:v>select</x:v>
      </x:c>
      <x:c r="E15" s="60" t="str">
        <x:v>variable</x:v>
      </x:c>
      <x:c r="F15" s="60"/>
      <x:c r="G15" s="60"/>
      <x:c r="H15" s="60"/>
      <x:c r="I15" s="60" t="str">
        <x:v>["stable","variable","adverse"]</x:v>
      </x:c>
      <x:c r="J15" s="60" t="str">
        <x:v>["穩定","多變","不利"]</x:v>
      </x:c>
      <x:c r="K15" s="60" t="n">
        <x:v>0</x:v>
      </x:c>
      <x:c r="L15" s="60" t="n">
        <x:v>0</x:v>
      </x:c>
      <x:c r="M15" s="60" t="str">
        <x:v>index.html</x:v>
      </x:c>
      <x:c r="N15" s="60" t="str">
        <x:v>與目前介面控制項同步。</x:v>
      </x:c>
    </x:row>
    <x:row r="16">
      <x:c r="A16" s="56" t="str">
        <x:v>turnOrderMode</x:v>
      </x:c>
      <x:c r="B16" s="56" t="str">
        <x:v>builder</x:v>
      </x:c>
      <x:c r="C16" s="56" t="str">
        <x:v>回合行動順序</x:v>
      </x:c>
      <x:c r="D16" s="56" t="str">
        <x:v>select</x:v>
      </x:c>
      <x:c r="E16" s="56" t="str">
        <x:v>simultaneous</x:v>
      </x:c>
      <x:c r="F16" s="56"/>
      <x:c r="G16" s="56"/>
      <x:c r="H16" s="56"/>
      <x:c r="I16" s="56" t="str">
        <x:v>["simultaneous","red_first","alternating"]</x:v>
      </x:c>
      <x:c r="J16" s="56" t="str">
        <x:v>["同時密封提交（預設）","紅方先行","輪替先行"]</x:v>
      </x:c>
      <x:c r="K16" s="56" t="n">
        <x:v>0</x:v>
      </x:c>
      <x:c r="L16" s="56" t="n">
        <x:v>0</x:v>
      </x:c>
      <x:c r="M16" s="56" t="str">
        <x:v>index.html</x:v>
      </x:c>
      <x:c r="N16" s="56" t="str">
        <x:v>與目前介面控制項同步。</x:v>
      </x:c>
    </x:row>
    <x:row r="17">
      <x:c r="A17" s="60" t="str">
        <x:v>firstOrderVisibility</x:v>
      </x:c>
      <x:c r="B17" s="60" t="str">
        <x:v>builder</x:v>
      </x:c>
      <x:c r="C17" s="60" t="str">
        <x:v>先行命令是否公開</x:v>
      </x:c>
      <x:c r="D17" s="60" t="str">
        <x:v>select</x:v>
      </x:c>
      <x:c r="E17" s="60" t="str">
        <x:v>sealed</x:v>
      </x:c>
      <x:c r="F17" s="60"/>
      <x:c r="G17" s="60"/>
      <x:c r="H17" s="60"/>
      <x:c r="I17" s="60" t="str">
        <x:v>["sealed","public"]</x:v>
      </x:c>
      <x:c r="J17" s="60" t="str">
        <x:v>["不公開：只決定裁決順序","公開：後手可見先手行動"]</x:v>
      </x:c>
      <x:c r="K17" s="60" t="n">
        <x:v>1</x:v>
      </x:c>
      <x:c r="L17" s="60" t="n">
        <x:v>0</x:v>
      </x:c>
      <x:c r="M17" s="60" t="str">
        <x:v>index.html</x:v>
      </x:c>
      <x:c r="N17" s="60" t="str">
        <x:v>與目前介面控制項同步。</x:v>
      </x:c>
    </x:row>
    <x:row r="18">
      <x:c r="A18" s="56" t="str">
        <x:v>coercionMode</x:v>
      </x:c>
      <x:c r="B18" s="56" t="str">
        <x:v>builder</x:v>
      </x:c>
      <x:c r="C18" s="56" t="str">
        <x:v>封控／衝突型態</x:v>
      </x:c>
      <x:c r="D18" s="56" t="str">
        <x:v>select</x:v>
      </x:c>
      <x:c r="E18" s="56" t="str">
        <x:v>limited_blockade</x:v>
      </x:c>
      <x:c r="F18" s="56"/>
      <x:c r="G18" s="56"/>
      <x:c r="H18" s="56"/>
      <x:c r="I18" s="56" t="str">
        <x:v>["limited_blockade","law_enforcement_blockade","conventional_conflict","nuclear_escalation"]</x:v>
      </x:c>
      <x:c r="J18" s="56" t="str">
        <x:v>["有限封控","海警與海上民兵執法封控","傳統軍事衝突","核升級風險情境"]</x:v>
      </x:c>
      <x:c r="K18" s="56" t="n">
        <x:v>0</x:v>
      </x:c>
      <x:c r="L18" s="56" t="n">
        <x:v>0</x:v>
      </x:c>
      <x:c r="M18" s="56" t="str">
        <x:v>index.html</x:v>
      </x:c>
      <x:c r="N18" s="56" t="str">
        <x:v>與目前介面控制項同步。</x:v>
      </x:c>
    </x:row>
    <x:row r="19">
      <x:c r="A19" s="60" t="str">
        <x:v>energyReserveDays</x:v>
      </x:c>
      <x:c r="B19" s="60" t="str">
        <x:v>builder</x:v>
      </x:c>
      <x:c r="C19" s="60" t="str">
        <x:v>能源安全存量（天）</x:v>
      </x:c>
      <x:c r="D19" s="60" t="str">
        <x:v>number</x:v>
      </x:c>
      <x:c r="E19" s="60" t="str">
        <x:v>30</x:v>
      </x:c>
      <x:c r="F19" s="60" t="n">
        <x:v>0</x:v>
      </x:c>
      <x:c r="G19" s="60" t="n">
        <x:v>60</x:v>
      </x:c>
      <x:c r="H19" s="60"/>
      <x:c r="I19" s="60" t="str">
        <x:v>[]</x:v>
      </x:c>
      <x:c r="J19" s="60" t="str">
        <x:v>[]</x:v>
      </x:c>
      <x:c r="K19" s="60" t="n">
        <x:v>0</x:v>
      </x:c>
      <x:c r="L19" s="60" t="n">
        <x:v>0</x:v>
      </x:c>
      <x:c r="M19" s="60" t="str">
        <x:v>index.html</x:v>
      </x:c>
      <x:c r="N19" s="60" t="str">
        <x:v>與目前介面控制項同步。</x:v>
      </x:c>
    </x:row>
    <x:row r="20">
      <x:c r="A20" s="56" t="str">
        <x:v>residualPowerPct</x:v>
      </x:c>
      <x:c r="B20" s="56" t="str">
        <x:v>builder</x:v>
      </x:c>
      <x:c r="C20" s="56" t="str">
        <x:v>能源耗盡後電力（%）</x:v>
      </x:c>
      <x:c r="D20" s="56" t="str">
        <x:v>number</x:v>
      </x:c>
      <x:c r="E20" s="56" t="str">
        <x:v>80</x:v>
      </x:c>
      <x:c r="F20" s="56" t="n">
        <x:v>0</x:v>
      </x:c>
      <x:c r="G20" s="56" t="n">
        <x:v>100</x:v>
      </x:c>
      <x:c r="H20" s="56"/>
      <x:c r="I20" s="56" t="str">
        <x:v>[]</x:v>
      </x:c>
      <x:c r="J20" s="56" t="str">
        <x:v>[]</x:v>
      </x:c>
      <x:c r="K20" s="56" t="n">
        <x:v>0</x:v>
      </x:c>
      <x:c r="L20" s="56" t="n">
        <x:v>0</x:v>
      </x:c>
      <x:c r="M20" s="56" t="str">
        <x:v>index.html</x:v>
      </x:c>
      <x:c r="N20" s="56" t="str">
        <x:v>與目前介面控制項同步。</x:v>
      </x:c>
    </x:row>
    <x:row r="21">
      <x:c r="A21" s="60" t="str">
        <x:v>precisionStockpileDays</x:v>
      </x:c>
      <x:c r="B21" s="60" t="str">
        <x:v>builder</x:v>
      </x:c>
      <x:c r="C21" s="60" t="str">
        <x:v>遠程精準彈藥存量（天）</x:v>
      </x:c>
      <x:c r="D21" s="60" t="str">
        <x:v>number</x:v>
      </x:c>
      <x:c r="E21" s="60" t="str">
        <x:v>30</x:v>
      </x:c>
      <x:c r="F21" s="60" t="n">
        <x:v>0</x:v>
      </x:c>
      <x:c r="G21" s="60" t="n">
        <x:v>60</x:v>
      </x:c>
      <x:c r="H21" s="60"/>
      <x:c r="I21" s="60" t="str">
        <x:v>[]</x:v>
      </x:c>
      <x:c r="J21" s="60" t="str">
        <x:v>[]</x:v>
      </x:c>
      <x:c r="K21" s="60" t="n">
        <x:v>0</x:v>
      </x:c>
      <x:c r="L21" s="60" t="n">
        <x:v>0</x:v>
      </x:c>
      <x:c r="M21" s="60" t="str">
        <x:v>index.html</x:v>
      </x:c>
      <x:c r="N21" s="60" t="str">
        <x:v>與目前介面控制項同步。</x:v>
      </x:c>
    </x:row>
    <x:row r="22">
      <x:c r="A22" s="56" t="str">
        <x:v>nuclearStrikeCount</x:v>
      </x:c>
      <x:c r="B22" s="56" t="str">
        <x:v>builder</x:v>
      </x:c>
      <x:c r="C22" s="56" t="str">
        <x:v>戰術核攻擊次數（抽象）</x:v>
      </x:c>
      <x:c r="D22" s="56" t="str">
        <x:v>number</x:v>
      </x:c>
      <x:c r="E22" s="56" t="str">
        <x:v>0</x:v>
      </x:c>
      <x:c r="F22" s="56" t="n">
        <x:v>0</x:v>
      </x:c>
      <x:c r="G22" s="56" t="n">
        <x:v>20</x:v>
      </x:c>
      <x:c r="H22" s="56"/>
      <x:c r="I22" s="56" t="str">
        <x:v>[]</x:v>
      </x:c>
      <x:c r="J22" s="56" t="str">
        <x:v>[]</x:v>
      </x:c>
      <x:c r="K22" s="56" t="n">
        <x:v>0</x:v>
      </x:c>
      <x:c r="L22" s="56" t="n">
        <x:v>0</x:v>
      </x:c>
      <x:c r="M22" s="56" t="str">
        <x:v>index.html</x:v>
      </x:c>
      <x:c r="N22" s="56" t="str">
        <x:v>與目前介面控制項同步。</x:v>
      </x:c>
    </x:row>
    <x:row r="23">
      <x:c r="A23" s="60" t="str">
        <x:v>globalEconomicShock</x:v>
      </x:c>
      <x:c r="B23" s="60" t="str">
        <x:v>builder</x:v>
      </x:c>
      <x:c r="C23" s="60" t="str">
        <x:v>全球經濟衝擊（1–5）</x:v>
      </x:c>
      <x:c r="D23" s="60" t="str">
        <x:v>number</x:v>
      </x:c>
      <x:c r="E23" s="60" t="str">
        <x:v>1</x:v>
      </x:c>
      <x:c r="F23" s="60" t="n">
        <x:v>1</x:v>
      </x:c>
      <x:c r="G23" s="60" t="n">
        <x:v>5</x:v>
      </x:c>
      <x:c r="H23" s="60"/>
      <x:c r="I23" s="60" t="str">
        <x:v>[]</x:v>
      </x:c>
      <x:c r="J23" s="60" t="str">
        <x:v>[]</x:v>
      </x:c>
      <x:c r="K23" s="60" t="n">
        <x:v>0</x:v>
      </x:c>
      <x:c r="L23" s="60" t="n">
        <x:v>0</x:v>
      </x:c>
      <x:c r="M23" s="60" t="str">
        <x:v>index.html</x:v>
      </x:c>
      <x:c r="N23" s="60" t="str">
        <x:v>與目前介面控制項同步。</x:v>
      </x:c>
    </x:row>
    <x:row r="24">
      <x:c r="A24" s="56" t="str">
        <x:v>blueAircraft</x:v>
      </x:c>
      <x:c r="B24" s="56" t="str">
        <x:v>builder</x:v>
      </x:c>
      <x:c r="C24" s="56" t="str">
        <x:v>藍方可用航空架次</x:v>
      </x:c>
      <x:c r="D24" s="56" t="str">
        <x:v>number</x:v>
      </x:c>
      <x:c r="E24" s="56" t="str">
        <x:v>48</x:v>
      </x:c>
      <x:c r="F24" s="56" t="n">
        <x:v>0</x:v>
      </x:c>
      <x:c r="G24" s="56" t="n">
        <x:v>240</x:v>
      </x:c>
      <x:c r="H24" s="56"/>
      <x:c r="I24" s="56" t="str">
        <x:v>[]</x:v>
      </x:c>
      <x:c r="J24" s="56" t="str">
        <x:v>[]</x:v>
      </x:c>
      <x:c r="K24" s="56" t="n">
        <x:v>0</x:v>
      </x:c>
      <x:c r="L24" s="56" t="n">
        <x:v>0</x:v>
      </x:c>
      <x:c r="M24" s="56" t="str">
        <x:v>index.html</x:v>
      </x:c>
      <x:c r="N24" s="56" t="str">
        <x:v>與目前介面控制項同步。</x:v>
      </x:c>
    </x:row>
    <x:row r="25">
      <x:c r="A25" s="60" t="str">
        <x:v>blueInterceptors</x:v>
      </x:c>
      <x:c r="B25" s="60" t="str">
        <x:v>builder</x:v>
      </x:c>
      <x:c r="C25" s="60" t="str">
        <x:v>藍方攔截彈庫存</x:v>
      </x:c>
      <x:c r="D25" s="60" t="str">
        <x:v>number</x:v>
      </x:c>
      <x:c r="E25" s="60" t="str">
        <x:v>160</x:v>
      </x:c>
      <x:c r="F25" s="60" t="n">
        <x:v>0</x:v>
      </x:c>
      <x:c r="G25" s="60" t="n">
        <x:v>600</x:v>
      </x:c>
      <x:c r="H25" s="60"/>
      <x:c r="I25" s="60" t="str">
        <x:v>[]</x:v>
      </x:c>
      <x:c r="J25" s="60" t="str">
        <x:v>[]</x:v>
      </x:c>
      <x:c r="K25" s="60" t="n">
        <x:v>0</x:v>
      </x:c>
      <x:c r="L25" s="60" t="n">
        <x:v>0</x:v>
      </x:c>
      <x:c r="M25" s="60" t="str">
        <x:v>index.html</x:v>
      </x:c>
      <x:c r="N25" s="60" t="str">
        <x:v>與目前介面控制項同步。</x:v>
      </x:c>
    </x:row>
    <x:row r="26">
      <x:c r="A26" s="56" t="str">
        <x:v>blueVessels</x:v>
      </x:c>
      <x:c r="B26" s="56" t="str">
        <x:v>builder</x:v>
      </x:c>
      <x:c r="C26" s="56" t="str">
        <x:v>藍方海上巡防平台</x:v>
      </x:c>
      <x:c r="D26" s="56" t="str">
        <x:v>number</x:v>
      </x:c>
      <x:c r="E26" s="56" t="str">
        <x:v>14</x:v>
      </x:c>
      <x:c r="F26" s="56" t="n">
        <x:v>0</x:v>
      </x:c>
      <x:c r="G26" s="56" t="n">
        <x:v>80</x:v>
      </x:c>
      <x:c r="H26" s="56"/>
      <x:c r="I26" s="56" t="str">
        <x:v>[]</x:v>
      </x:c>
      <x:c r="J26" s="56" t="str">
        <x:v>[]</x:v>
      </x:c>
      <x:c r="K26" s="56" t="n">
        <x:v>0</x:v>
      </x:c>
      <x:c r="L26" s="56" t="n">
        <x:v>0</x:v>
      </x:c>
      <x:c r="M26" s="56" t="str">
        <x:v>index.html</x:v>
      </x:c>
      <x:c r="N26" s="56" t="str">
        <x:v>與目前介面控制項同步。</x:v>
      </x:c>
    </x:row>
    <x:row r="27">
      <x:c r="A27" s="60" t="str">
        <x:v>blueLogistics</x:v>
      </x:c>
      <x:c r="B27" s="60" t="str">
        <x:v>builder</x:v>
      </x:c>
      <x:c r="C27" s="60" t="str">
        <x:v>藍方後勤補給批次</x:v>
      </x:c>
      <x:c r="D27" s="60" t="str">
        <x:v>number</x:v>
      </x:c>
      <x:c r="E27" s="60" t="str">
        <x:v>72</x:v>
      </x:c>
      <x:c r="F27" s="60" t="n">
        <x:v>0</x:v>
      </x:c>
      <x:c r="G27" s="60" t="n">
        <x:v>240</x:v>
      </x:c>
      <x:c r="H27" s="60"/>
      <x:c r="I27" s="60" t="str">
        <x:v>[]</x:v>
      </x:c>
      <x:c r="J27" s="60" t="str">
        <x:v>[]</x:v>
      </x:c>
      <x:c r="K27" s="60" t="n">
        <x:v>0</x:v>
      </x:c>
      <x:c r="L27" s="60" t="n">
        <x:v>0</x:v>
      </x:c>
      <x:c r="M27" s="60" t="str">
        <x:v>index.html</x:v>
      </x:c>
      <x:c r="N27" s="60" t="str">
        <x:v>與目前介面控制項同步。</x:v>
      </x:c>
    </x:row>
    <x:row r="28">
      <x:c r="A28" s="56" t="str">
        <x:v>blueDrones</x:v>
      </x:c>
      <x:c r="B28" s="56" t="str">
        <x:v>builder</x:v>
      </x:c>
      <x:c r="C28" s="56" t="str">
        <x:v>藍方無人機任務批次</x:v>
      </x:c>
      <x:c r="D28" s="56" t="str">
        <x:v>number</x:v>
      </x:c>
      <x:c r="E28" s="56" t="str">
        <x:v>120</x:v>
      </x:c>
      <x:c r="F28" s="56" t="n">
        <x:v>0</x:v>
      </x:c>
      <x:c r="G28" s="56" t="n">
        <x:v>1000</x:v>
      </x:c>
      <x:c r="H28" s="56"/>
      <x:c r="I28" s="56" t="str">
        <x:v>[]</x:v>
      </x:c>
      <x:c r="J28" s="56" t="str">
        <x:v>[]</x:v>
      </x:c>
      <x:c r="K28" s="56" t="n">
        <x:v>0</x:v>
      </x:c>
      <x:c r="L28" s="56" t="n">
        <x:v>0</x:v>
      </x:c>
      <x:c r="M28" s="56" t="str">
        <x:v>index.html</x:v>
      </x:c>
      <x:c r="N28" s="56" t="str">
        <x:v>與目前介面控制項同步。</x:v>
      </x:c>
    </x:row>
    <x:row r="29">
      <x:c r="A29" s="60" t="str">
        <x:v>starlinkNodes</x:v>
      </x:c>
      <x:c r="B29" s="60" t="str">
        <x:v>builder</x:v>
      </x:c>
      <x:c r="C29" s="60" t="str">
        <x:v>星鏈備援通訊節點</x:v>
      </x:c>
      <x:c r="D29" s="60" t="str">
        <x:v>number</x:v>
      </x:c>
      <x:c r="E29" s="60" t="str">
        <x:v>24</x:v>
      </x:c>
      <x:c r="F29" s="60" t="n">
        <x:v>0</x:v>
      </x:c>
      <x:c r="G29" s="60" t="n">
        <x:v>200</x:v>
      </x:c>
      <x:c r="H29" s="60"/>
      <x:c r="I29" s="60" t="str">
        <x:v>[]</x:v>
      </x:c>
      <x:c r="J29" s="60" t="str">
        <x:v>[]</x:v>
      </x:c>
      <x:c r="K29" s="60" t="n">
        <x:v>0</x:v>
      </x:c>
      <x:c r="L29" s="60" t="n">
        <x:v>0</x:v>
      </x:c>
      <x:c r="M29" s="60" t="str">
        <x:v>index.html</x:v>
      </x:c>
      <x:c r="N29" s="60" t="str">
        <x:v>與目前介面控制項同步。</x:v>
      </x:c>
    </x:row>
    <x:row r="30">
      <x:c r="A30" s="56" t="str">
        <x:v>highAltitudePlatforms</x:v>
      </x:c>
      <x:c r="B30" s="56" t="str">
        <x:v>builder</x:v>
      </x:c>
      <x:c r="C30" s="56" t="str">
        <x:v>高空通訊平臺</x:v>
      </x:c>
      <x:c r="D30" s="56" t="str">
        <x:v>number</x:v>
      </x:c>
      <x:c r="E30" s="56" t="str">
        <x:v>6</x:v>
      </x:c>
      <x:c r="F30" s="56" t="n">
        <x:v>0</x:v>
      </x:c>
      <x:c r="G30" s="56" t="n">
        <x:v>50</x:v>
      </x:c>
      <x:c r="H30" s="56"/>
      <x:c r="I30" s="56" t="str">
        <x:v>[]</x:v>
      </x:c>
      <x:c r="J30" s="56" t="str">
        <x:v>[]</x:v>
      </x:c>
      <x:c r="K30" s="56" t="n">
        <x:v>0</x:v>
      </x:c>
      <x:c r="L30" s="56" t="n">
        <x:v>0</x:v>
      </x:c>
      <x:c r="M30" s="56" t="str">
        <x:v>index.html</x:v>
      </x:c>
      <x:c r="N30" s="56" t="str">
        <x:v>與目前介面控制項同步。</x:v>
      </x:c>
    </x:row>
    <x:row r="31">
      <x:c r="A31" s="60" t="str">
        <x:v>redAircraft</x:v>
      </x:c>
      <x:c r="B31" s="60" t="str">
        <x:v>builder</x:v>
      </x:c>
      <x:c r="C31" s="60" t="str">
        <x:v>紅方航空架次</x:v>
      </x:c>
      <x:c r="D31" s="60" t="str">
        <x:v>number</x:v>
      </x:c>
      <x:c r="E31" s="60" t="str">
        <x:v>96</x:v>
      </x:c>
      <x:c r="F31" s="60" t="n">
        <x:v>0</x:v>
      </x:c>
      <x:c r="G31" s="60" t="n">
        <x:v>360</x:v>
      </x:c>
      <x:c r="H31" s="60"/>
      <x:c r="I31" s="60" t="str">
        <x:v>[]</x:v>
      </x:c>
      <x:c r="J31" s="60" t="str">
        <x:v>[]</x:v>
      </x:c>
      <x:c r="K31" s="60" t="n">
        <x:v>0</x:v>
      </x:c>
      <x:c r="L31" s="60" t="n">
        <x:v>0</x:v>
      </x:c>
      <x:c r="M31" s="60" t="str">
        <x:v>index.html</x:v>
      </x:c>
      <x:c r="N31" s="60" t="str">
        <x:v>與目前介面控制項同步。</x:v>
      </x:c>
    </x:row>
    <x:row r="32">
      <x:c r="A32" s="56" t="str">
        <x:v>redIncoming</x:v>
      </x:c>
      <x:c r="B32" s="56" t="str">
        <x:v>builder</x:v>
      </x:c>
      <x:c r="C32" s="56" t="str">
        <x:v>紅方合成來襲目標</x:v>
      </x:c>
      <x:c r="D32" s="56" t="str">
        <x:v>number</x:v>
      </x:c>
      <x:c r="E32" s="56" t="str">
        <x:v>180</x:v>
      </x:c>
      <x:c r="F32" s="56" t="n">
        <x:v>0</x:v>
      </x:c>
      <x:c r="G32" s="56" t="n">
        <x:v>600</x:v>
      </x:c>
      <x:c r="H32" s="56"/>
      <x:c r="I32" s="56" t="str">
        <x:v>[]</x:v>
      </x:c>
      <x:c r="J32" s="56" t="str">
        <x:v>[]</x:v>
      </x:c>
      <x:c r="K32" s="56" t="n">
        <x:v>0</x:v>
      </x:c>
      <x:c r="L32" s="56" t="n">
        <x:v>0</x:v>
      </x:c>
      <x:c r="M32" s="56" t="str">
        <x:v>index.html</x:v>
      </x:c>
      <x:c r="N32" s="56" t="str">
        <x:v>與目前介面控制項同步。</x:v>
      </x:c>
    </x:row>
    <x:row r="33">
      <x:c r="A33" s="60" t="str">
        <x:v>redVessels</x:v>
      </x:c>
      <x:c r="B33" s="60" t="str">
        <x:v>builder</x:v>
      </x:c>
      <x:c r="C33" s="60" t="str">
        <x:v>紅方海上平台</x:v>
      </x:c>
      <x:c r="D33" s="60" t="str">
        <x:v>number</x:v>
      </x:c>
      <x:c r="E33" s="60" t="str">
        <x:v>24</x:v>
      </x:c>
      <x:c r="F33" s="60" t="n">
        <x:v>0</x:v>
      </x:c>
      <x:c r="G33" s="60" t="n">
        <x:v>100</x:v>
      </x:c>
      <x:c r="H33" s="60"/>
      <x:c r="I33" s="60" t="str">
        <x:v>[]</x:v>
      </x:c>
      <x:c r="J33" s="60" t="str">
        <x:v>[]</x:v>
      </x:c>
      <x:c r="K33" s="60" t="n">
        <x:v>0</x:v>
      </x:c>
      <x:c r="L33" s="60" t="n">
        <x:v>0</x:v>
      </x:c>
      <x:c r="M33" s="60" t="str">
        <x:v>index.html</x:v>
      </x:c>
      <x:c r="N33" s="60" t="str">
        <x:v>與目前介面控制項同步。</x:v>
      </x:c>
    </x:row>
    <x:row r="34">
      <x:c r="A34" s="56" t="str">
        <x:v>redLogistics</x:v>
      </x:c>
      <x:c r="B34" s="56" t="str">
        <x:v>builder</x:v>
      </x:c>
      <x:c r="C34" s="56" t="str">
        <x:v>紅方後勤補給批次</x:v>
      </x:c>
      <x:c r="D34" s="56" t="str">
        <x:v>number</x:v>
      </x:c>
      <x:c r="E34" s="56" t="str">
        <x:v>84</x:v>
      </x:c>
      <x:c r="F34" s="56" t="n">
        <x:v>0</x:v>
      </x:c>
      <x:c r="G34" s="56" t="n">
        <x:v>240</x:v>
      </x:c>
      <x:c r="H34" s="56"/>
      <x:c r="I34" s="56" t="str">
        <x:v>[]</x:v>
      </x:c>
      <x:c r="J34" s="56" t="str">
        <x:v>[]</x:v>
      </x:c>
      <x:c r="K34" s="56" t="n">
        <x:v>0</x:v>
      </x:c>
      <x:c r="L34" s="56" t="n">
        <x:v>0</x:v>
      </x:c>
      <x:c r="M34" s="56" t="str">
        <x:v>index.html</x:v>
      </x:c>
      <x:c r="N34" s="56" t="str">
        <x:v>與目前介面控制項同步。</x:v>
      </x:c>
    </x:row>
    <x:row r="35">
      <x:c r="A35" s="60" t="str">
        <x:v>teacherConstraints</x:v>
      </x:c>
      <x:c r="B35" s="60" t="str">
        <x:v>builder</x:v>
      </x:c>
      <x:c r="C35" s="60" t="str">
        <x:v>補充限制</x:v>
      </x:c>
      <x:c r="D35" s="60" t="str">
        <x:v>textarea</x:v>
      </x:c>
      <x:c r="E35" s="60" t="str">
        <x:v>避免升高衝突；需保留後續回合資源；納入商船、人道與資訊環境。</x:v>
      </x:c>
      <x:c r="F35" s="60"/>
      <x:c r="G35" s="60"/>
      <x:c r="H35" s="60"/>
      <x:c r="I35" s="60" t="str">
        <x:v>[]</x:v>
      </x:c>
      <x:c r="J35" s="60" t="str">
        <x:v>[]</x:v>
      </x:c>
      <x:c r="K35" s="60" t="n">
        <x:v>0</x:v>
      </x:c>
      <x:c r="L35" s="60" t="n">
        <x:v>0</x:v>
      </x:c>
      <x:c r="M35" s="60" t="str">
        <x:v>index.html</x:v>
      </x:c>
      <x:c r="N35" s="60" t="str">
        <x:v>與目前介面控制項同步。</x:v>
      </x:c>
    </x:row>
    <x:row r="36">
      <x:c r="A36" s="56" t="str">
        <x:v>llmProvider</x:v>
      </x:c>
      <x:c r="B36" s="56" t="str">
        <x:v>builder</x:v>
      </x:c>
      <x:c r="C36" s="56" t="str">
        <x:v>供應商</x:v>
      </x:c>
      <x:c r="D36" s="56" t="str">
        <x:v>select</x:v>
      </x:c>
      <x:c r="E36" s="56" t="str">
        <x:v>gemini</x:v>
      </x:c>
      <x:c r="F36" s="56"/>
      <x:c r="G36" s="56"/>
      <x:c r="H36" s="56"/>
      <x:c r="I36" s="56" t="str">
        <x:v>["gemini","openai","claude","cgu"]</x:v>
      </x:c>
      <x:c r="J36" s="56" t="str">
        <x:v>["Google Gemini","OpenAI","Anthropic Claude","CGU／相容 API"]</x:v>
      </x:c>
      <x:c r="K36" s="56" t="n">
        <x:v>0</x:v>
      </x:c>
      <x:c r="L36" s="56" t="n">
        <x:v>0</x:v>
      </x:c>
      <x:c r="M36" s="56" t="str">
        <x:v>index.html</x:v>
      </x:c>
      <x:c r="N36" s="56" t="str">
        <x:v>與目前介面控制項同步。</x:v>
      </x:c>
    </x:row>
    <x:row r="37">
      <x:c r="A37" s="60" t="str">
        <x:v>llmModel</x:v>
      </x:c>
      <x:c r="B37" s="60" t="str">
        <x:v>builder</x:v>
      </x:c>
      <x:c r="C37" s="60" t="str">
        <x:v>模型名稱</x:v>
      </x:c>
      <x:c r="D37" s="60" t="str">
        <x:v>text</x:v>
      </x:c>
      <x:c r="E37" s="60" t="str">
        <x:v>gemini-3.5-flash</x:v>
      </x:c>
      <x:c r="F37" s="60"/>
      <x:c r="G37" s="60"/>
      <x:c r="H37" s="60"/>
      <x:c r="I37" s="60" t="str">
        <x:v>[]</x:v>
      </x:c>
      <x:c r="J37" s="60" t="str">
        <x:v>[]</x:v>
      </x:c>
      <x:c r="K37" s="60" t="n">
        <x:v>0</x:v>
      </x:c>
      <x:c r="L37" s="60" t="n">
        <x:v>0</x:v>
      </x:c>
      <x:c r="M37" s="60" t="str">
        <x:v>index.html</x:v>
      </x:c>
      <x:c r="N37" s="60" t="str">
        <x:v>與目前介面控制項同步。</x:v>
      </x:c>
    </x:row>
    <x:row r="38">
      <x:c r="A38" s="56" t="str">
        <x:v>llmReasoning</x:v>
      </x:c>
      <x:c r="B38" s="56" t="str">
        <x:v>builder</x:v>
      </x:c>
      <x:c r="C38" s="56" t="str">
        <x:v>思考力度</x:v>
      </x:c>
      <x:c r="D38" s="56" t="str">
        <x:v>select</x:v>
      </x:c>
      <x:c r="E38" s="56" t="str">
        <x:v>low</x:v>
      </x:c>
      <x:c r="F38" s="56"/>
      <x:c r="G38" s="56"/>
      <x:c r="H38" s="56"/>
      <x:c r="I38" s="56" t="str">
        <x:v>["minimal","low","medium","high"]</x:v>
      </x:c>
      <x:c r="J38" s="56" t="str">
        <x:v>["最小","低","中","高"]</x:v>
      </x:c>
      <x:c r="K38" s="56" t="n">
        <x:v>0</x:v>
      </x:c>
      <x:c r="L38" s="56" t="n">
        <x:v>0</x:v>
      </x:c>
      <x:c r="M38" s="56" t="str">
        <x:v>index.html</x:v>
      </x:c>
      <x:c r="N38" s="56" t="str">
        <x:v>與目前介面控制項同步。</x:v>
      </x:c>
    </x:row>
    <x:row r="39">
      <x:c r="A39" s="60" t="str">
        <x:v>llmApiKey</x:v>
      </x:c>
      <x:c r="B39" s="60" t="str">
        <x:v>builder</x:v>
      </x:c>
      <x:c r="C39" s="60" t="str">
        <x:v>API Key</x:v>
      </x:c>
      <x:c r="D39" s="60" t="str">
        <x:v>password</x:v>
      </x:c>
      <x:c r="E39" s="60" t="str"/>
      <x:c r="F39" s="60"/>
      <x:c r="G39" s="60"/>
      <x:c r="H39" s="60"/>
      <x:c r="I39" s="60" t="str">
        <x:v>[]</x:v>
      </x:c>
      <x:c r="J39" s="60" t="str">
        <x:v>[]</x:v>
      </x:c>
      <x:c r="K39" s="60" t="n">
        <x:v>0</x:v>
      </x:c>
      <x:c r="L39" s="60" t="n">
        <x:v>1</x:v>
      </x:c>
      <x:c r="M39" s="60" t="str">
        <x:v>index.html</x:v>
      </x:c>
      <x:c r="N39" s="60" t="str">
        <x:v>僅保存空白預設；實際金鑰不得寫入資料庫。</x:v>
      </x:c>
    </x:row>
    <x:row r="40">
      <x:c r="A40" s="56" t="str">
        <x:v>llmEndpoint</x:v>
      </x:c>
      <x:c r="B40" s="56" t="str">
        <x:v>builder</x:v>
      </x:c>
      <x:c r="C40" s="56" t="str">
        <x:v>API Endpoint</x:v>
      </x:c>
      <x:c r="D40" s="56" t="str">
        <x:v>url</x:v>
      </x:c>
      <x:c r="E40" s="56" t="str">
        <x:v>https://generativelanguage.googleapis.com/v1beta</x:v>
      </x:c>
      <x:c r="F40" s="56"/>
      <x:c r="G40" s="56"/>
      <x:c r="H40" s="56"/>
      <x:c r="I40" s="56" t="str">
        <x:v>[]</x:v>
      </x:c>
      <x:c r="J40" s="56" t="str">
        <x:v>[]</x:v>
      </x:c>
      <x:c r="K40" s="56" t="n">
        <x:v>0</x:v>
      </x:c>
      <x:c r="L40" s="56" t="n">
        <x:v>0</x:v>
      </x:c>
      <x:c r="M40" s="56" t="str">
        <x:v>index.html</x:v>
      </x:c>
      <x:c r="N40" s="56" t="str">
        <x:v>與目前介面控制項同步。</x:v>
      </x:c>
    </x:row>
    <x:row r="41">
      <x:c r="A41" s="60" t="str">
        <x:v>llmInstruction</x:v>
      </x:c>
      <x:c r="B41" s="60" t="str">
        <x:v>builder</x:v>
      </x:c>
      <x:c r="C41" s="60" t="str">
        <x:v>額外敘事指示（選填）</x:v>
      </x:c>
      <x:c r="D41" s="60" t="str">
        <x:v>textarea</x:v>
      </x:c>
      <x:c r="E41" s="60" t="str"/>
      <x:c r="F41" s="60"/>
      <x:c r="G41" s="60"/>
      <x:c r="H41" s="60"/>
      <x:c r="I41" s="60" t="str">
        <x:v>[]</x:v>
      </x:c>
      <x:c r="J41" s="60" t="str">
        <x:v>[]</x:v>
      </x:c>
      <x:c r="K41" s="60" t="n">
        <x:v>0</x:v>
      </x:c>
      <x:c r="L41" s="60" t="n">
        <x:v>0</x:v>
      </x:c>
      <x:c r="M41" s="60" t="str">
        <x:v>index.html</x:v>
      </x:c>
      <x:c r="N41" s="60" t="str">
        <x:v>與目前介面控制項同步。</x:v>
      </x:c>
    </x:row>
    <x:row r="42">
      <x:c r="A42" s="56" t="str">
        <x:v>orderActor</x:v>
      </x:c>
      <x:c r="B42" s="56" t="str">
        <x:v>simulation</x:v>
      </x:c>
      <x:c r="C42" s="56" t="str">
        <x:v>角色</x:v>
      </x:c>
      <x:c r="D42" s="56" t="str">
        <x:v>select</x:v>
      </x:c>
      <x:c r="E42" s="56" t="str">
        <x:v>BLUE</x:v>
      </x:c>
      <x:c r="F42" s="56"/>
      <x:c r="G42" s="56"/>
      <x:c r="H42" s="56"/>
      <x:c r="I42" s="56" t="str">
        <x:v>["BLUE","RED","AMBER"]</x:v>
      </x:c>
      <x:c r="J42" s="56" t="str">
        <x:v>["藍方（臺灣）","紅方（中國大陸）","琥珀方（美軍支援）"]</x:v>
      </x:c>
      <x:c r="K42" s="56" t="n">
        <x:v>0</x:v>
      </x:c>
      <x:c r="L42" s="56" t="n">
        <x:v>0</x:v>
      </x:c>
      <x:c r="M42" s="56" t="str">
        <x:v>index.html</x:v>
      </x:c>
      <x:c r="N42" s="56" t="str">
        <x:v>與目前介面控制項同步。</x:v>
      </x:c>
    </x:row>
    <x:row r="43">
      <x:c r="A43" s="60" t="str">
        <x:v>orderAction</x:v>
      </x:c>
      <x:c r="B43" s="60" t="str">
        <x:v>simulation</x:v>
      </x:c>
      <x:c r="C43" s="60" t="str">
        <x:v>行動</x:v>
      </x:c>
      <x:c r="D43" s="60" t="str">
        <x:v>select</x:v>
      </x:c>
      <x:c r="E43" s="60" t="str"/>
      <x:c r="F43" s="60"/>
      <x:c r="G43" s="60"/>
      <x:c r="H43" s="60"/>
      <x:c r="I43" s="60" t="str">
        <x:v>[]</x:v>
      </x:c>
      <x:c r="J43" s="60" t="str">
        <x:v>[]</x:v>
      </x:c>
      <x:c r="K43" s="60" t="n">
        <x:v>0</x:v>
      </x:c>
      <x:c r="L43" s="60" t="n">
        <x:v>0</x:v>
      </x:c>
      <x:c r="M43" s="60" t="str">
        <x:v>index.html</x:v>
      </x:c>
      <x:c r="N43" s="60" t="str">
        <x:v>與目前介面控制項同步。</x:v>
      </x:c>
    </x:row>
    <x:row r="44">
      <x:c r="A44" s="56" t="str">
        <x:v>orderZone</x:v>
      </x:c>
      <x:c r="B44" s="56" t="str">
        <x:v>simulation</x:v>
      </x:c>
      <x:c r="C44" s="56" t="str">
        <x:v>目標區域</x:v>
      </x:c>
      <x:c r="D44" s="56" t="str">
        <x:v>select</x:v>
      </x:c>
      <x:c r="E44" s="56" t="str"/>
      <x:c r="F44" s="56"/>
      <x:c r="G44" s="56"/>
      <x:c r="H44" s="56"/>
      <x:c r="I44" s="56" t="str">
        <x:v>[]</x:v>
      </x:c>
      <x:c r="J44" s="56" t="str">
        <x:v>[]</x:v>
      </x:c>
      <x:c r="K44" s="56" t="n">
        <x:v>0</x:v>
      </x:c>
      <x:c r="L44" s="56" t="n">
        <x:v>0</x:v>
      </x:c>
      <x:c r="M44" s="56" t="str">
        <x:v>index.html</x:v>
      </x:c>
      <x:c r="N44" s="56" t="str">
        <x:v>與目前介面控制項同步。</x:v>
      </x:c>
    </x:row>
    <x:row r="45">
      <x:c r="A45" s="60" t="str">
        <x:v>orderResource</x:v>
      </x:c>
      <x:c r="B45" s="60" t="str">
        <x:v>simulation</x:v>
      </x:c>
      <x:c r="C45" s="60" t="str">
        <x:v>投入資源點數</x:v>
      </x:c>
      <x:c r="D45" s="60" t="str">
        <x:v>number</x:v>
      </x:c>
      <x:c r="E45" s="60" t="str">
        <x:v>20</x:v>
      </x:c>
      <x:c r="F45" s="60" t="n">
        <x:v>5</x:v>
      </x:c>
      <x:c r="G45" s="60" t="n">
        <x:v>35</x:v>
      </x:c>
      <x:c r="H45" s="60"/>
      <x:c r="I45" s="60" t="str">
        <x:v>[]</x:v>
      </x:c>
      <x:c r="J45" s="60" t="str">
        <x:v>[]</x:v>
      </x:c>
      <x:c r="K45" s="60" t="n">
        <x:v>0</x:v>
      </x:c>
      <x:c r="L45" s="60" t="n">
        <x:v>0</x:v>
      </x:c>
      <x:c r="M45" s="60" t="str">
        <x:v>index.html</x:v>
      </x:c>
      <x:c r="N45" s="60" t="str">
        <x:v>與目前介面控制項同步。</x:v>
      </x:c>
    </x:row>
    <x:row r="46">
      <x:c r="A46" s="56" t="str">
        <x:v>orderRationale</x:v>
      </x:c>
      <x:c r="B46" s="56" t="str">
        <x:v>simulation</x:v>
      </x:c>
      <x:c r="C46" s="56" t="str">
        <x:v>決策理由</x:v>
      </x:c>
      <x:c r="D46" s="56" t="str">
        <x:v>textarea</x:v>
      </x:c>
      <x:c r="E46" s="56" t="str"/>
      <x:c r="F46" s="56"/>
      <x:c r="G46" s="56"/>
      <x:c r="H46" s="56"/>
      <x:c r="I46" s="56" t="str">
        <x:v>[]</x:v>
      </x:c>
      <x:c r="J46" s="56" t="str">
        <x:v>[]</x:v>
      </x:c>
      <x:c r="K46" s="56" t="n">
        <x:v>0</x:v>
      </x:c>
      <x:c r="L46" s="56" t="n">
        <x:v>0</x:v>
      </x:c>
      <x:c r="M46" s="56" t="str">
        <x:v>index.html</x:v>
      </x:c>
      <x:c r="N46" s="56" t="str">
        <x:v>與目前介面控制項同步。</x:v>
      </x:c>
    </x:row>
    <x:row r="47">
      <x:c r="A47" s="60" t="str">
        <x:v>labIncoming</x:v>
      </x:c>
      <x:c r="B47" s="60" t="str">
        <x:v>simulation</x:v>
      </x:c>
      <x:c r="C47" s="60" t="str">
        <x:v>來襲目標數</x:v>
      </x:c>
      <x:c r="D47" s="60" t="str">
        <x:v>number</x:v>
      </x:c>
      <x:c r="E47" s="60" t="str">
        <x:v>3</x:v>
      </x:c>
      <x:c r="F47" s="60" t="n">
        <x:v>1</x:v>
      </x:c>
      <x:c r="G47" s="60" t="n">
        <x:v>20</x:v>
      </x:c>
      <x:c r="H47" s="60"/>
      <x:c r="I47" s="60" t="str">
        <x:v>[]</x:v>
      </x:c>
      <x:c r="J47" s="60" t="str">
        <x:v>[]</x:v>
      </x:c>
      <x:c r="K47" s="60" t="n">
        <x:v>0</x:v>
      </x:c>
      <x:c r="L47" s="60" t="n">
        <x:v>0</x:v>
      </x:c>
      <x:c r="M47" s="60" t="str">
        <x:v>index.html</x:v>
      </x:c>
      <x:c r="N47" s="60" t="str">
        <x:v>與目前介面控制項同步。</x:v>
      </x:c>
    </x:row>
    <x:row r="48">
      <x:c r="A48" s="56" t="str">
        <x:v>labShots</x:v>
      </x:c>
      <x:c r="B48" s="56" t="str">
        <x:v>simulation</x:v>
      </x:c>
      <x:c r="C48" s="56" t="str">
        <x:v>配置攔截次數</x:v>
      </x:c>
      <x:c r="D48" s="56" t="str">
        <x:v>number</x:v>
      </x:c>
      <x:c r="E48" s="56" t="str">
        <x:v>4</x:v>
      </x:c>
      <x:c r="F48" s="56" t="n">
        <x:v>1</x:v>
      </x:c>
      <x:c r="G48" s="56" t="n">
        <x:v>20</x:v>
      </x:c>
      <x:c r="H48" s="56"/>
      <x:c r="I48" s="56" t="str">
        <x:v>[]</x:v>
      </x:c>
      <x:c r="J48" s="56" t="str">
        <x:v>[]</x:v>
      </x:c>
      <x:c r="K48" s="56" t="n">
        <x:v>0</x:v>
      </x:c>
      <x:c r="L48" s="56" t="n">
        <x:v>0</x:v>
      </x:c>
      <x:c r="M48" s="56" t="str">
        <x:v>index.html</x:v>
      </x:c>
      <x:c r="N48" s="56" t="str">
        <x:v>與目前介面控制項同步。</x:v>
      </x:c>
    </x:row>
    <x:row r="49">
      <x:c r="A49" s="60" t="str">
        <x:v>labBaseP</x:v>
      </x:c>
      <x:c r="B49" s="60" t="str">
        <x:v>simulation</x:v>
      </x:c>
      <x:c r="C49" s="60" t="str">
        <x:v>單次基準機率</x:v>
      </x:c>
      <x:c r="D49" s="60" t="str">
        <x:v>range</x:v>
      </x:c>
      <x:c r="E49" s="60" t="str">
        <x:v>43</x:v>
      </x:c>
      <x:c r="F49" s="60" t="n">
        <x:v>20</x:v>
      </x:c>
      <x:c r="G49" s="60" t="n">
        <x:v>70</x:v>
      </x:c>
      <x:c r="H49" s="60"/>
      <x:c r="I49" s="60" t="str">
        <x:v>[]</x:v>
      </x:c>
      <x:c r="J49" s="60" t="str">
        <x:v>[]</x:v>
      </x:c>
      <x:c r="K49" s="60" t="n">
        <x:v>0</x:v>
      </x:c>
      <x:c r="L49" s="60" t="n">
        <x:v>0</x:v>
      </x:c>
      <x:c r="M49" s="60" t="str">
        <x:v>index.html</x:v>
      </x:c>
      <x:c r="N49" s="60" t="str">
        <x:v>與目前介面控制項同步。</x:v>
      </x:c>
    </x:row>
    <x:row r="50">
      <x:c r="A50" s="56" t="str">
        <x:v>labDetection</x:v>
      </x:c>
      <x:c r="B50" s="56" t="str">
        <x:v>simulation</x:v>
      </x:c>
      <x:c r="C50" s="56" t="str">
        <x:v>偵測品質</x:v>
      </x:c>
      <x:c r="D50" s="56" t="str">
        <x:v>range</x:v>
      </x:c>
      <x:c r="E50" s="56" t="str">
        <x:v>78</x:v>
      </x:c>
      <x:c r="F50" s="56" t="n">
        <x:v>40</x:v>
      </x:c>
      <x:c r="G50" s="56" t="n">
        <x:v>100</x:v>
      </x:c>
      <x:c r="H50" s="56"/>
      <x:c r="I50" s="56" t="str">
        <x:v>[]</x:v>
      </x:c>
      <x:c r="J50" s="56" t="str">
        <x:v>[]</x:v>
      </x:c>
      <x:c r="K50" s="56" t="n">
        <x:v>0</x:v>
      </x:c>
      <x:c r="L50" s="56" t="n">
        <x:v>0</x:v>
      </x:c>
      <x:c r="M50" s="56" t="str">
        <x:v>index.html</x:v>
      </x:c>
      <x:c r="N50" s="56" t="str">
        <x:v>與目前介面控制項同步。</x:v>
      </x:c>
    </x:row>
    <x:row r="51">
      <x:c r="A51" s="60" t="str">
        <x:v>labReadiness</x:v>
      </x:c>
      <x:c r="B51" s="60" t="str">
        <x:v>simulation</x:v>
      </x:c>
      <x:c r="C51" s="60" t="str">
        <x:v>系統準備度</x:v>
      </x:c>
      <x:c r="D51" s="60" t="str">
        <x:v>range</x:v>
      </x:c>
      <x:c r="E51" s="60" t="str">
        <x:v>80</x:v>
      </x:c>
      <x:c r="F51" s="60" t="n">
        <x:v>40</x:v>
      </x:c>
      <x:c r="G51" s="60" t="n">
        <x:v>100</x:v>
      </x:c>
      <x:c r="H51" s="60"/>
      <x:c r="I51" s="60" t="str">
        <x:v>[]</x:v>
      </x:c>
      <x:c r="J51" s="60" t="str">
        <x:v>[]</x:v>
      </x:c>
      <x:c r="K51" s="60" t="n">
        <x:v>0</x:v>
      </x:c>
      <x:c r="L51" s="60" t="n">
        <x:v>0</x:v>
      </x:c>
      <x:c r="M51" s="60" t="str">
        <x:v>index.html</x:v>
      </x:c>
      <x:c r="N51" s="60" t="str">
        <x:v>與目前介面控制項同步。</x:v>
      </x:c>
    </x:row>
    <x:row r="52">
      <x:c r="A52" s="56" t="str">
        <x:v>labSea</x:v>
      </x:c>
      <x:c r="B52" s="56" t="str">
        <x:v>simulation</x:v>
      </x:c>
      <x:c r="C52" s="56" t="str">
        <x:v>海象</x:v>
      </x:c>
      <x:c r="D52" s="56" t="str">
        <x:v>range</x:v>
      </x:c>
      <x:c r="E52" s="56" t="str">
        <x:v>3</x:v>
      </x:c>
      <x:c r="F52" s="56" t="n">
        <x:v>1</x:v>
      </x:c>
      <x:c r="G52" s="56" t="n">
        <x:v>5</x:v>
      </x:c>
      <x:c r="H52" s="56"/>
      <x:c r="I52" s="56" t="str">
        <x:v>[]</x:v>
      </x:c>
      <x:c r="J52" s="56" t="str">
        <x:v>[]</x:v>
      </x:c>
      <x:c r="K52" s="56" t="n">
        <x:v>0</x:v>
      </x:c>
      <x:c r="L52" s="56" t="n">
        <x:v>0</x:v>
      </x:c>
      <x:c r="M52" s="56" t="str">
        <x:v>index.html</x:v>
      </x:c>
      <x:c r="N52" s="56" t="str">
        <x:v>與目前介面控制項同步。</x:v>
      </x:c>
    </x:row>
    <x:row r="53">
      <x:c r="A53" s="60" t="str">
        <x:v>labJamming</x:v>
      </x:c>
      <x:c r="B53" s="60" t="str">
        <x:v>simulation</x:v>
      </x:c>
      <x:c r="C53" s="60" t="str">
        <x:v>干擾程度</x:v>
      </x:c>
      <x:c r="D53" s="60" t="str">
        <x:v>range</x:v>
      </x:c>
      <x:c r="E53" s="60" t="str">
        <x:v>22</x:v>
      </x:c>
      <x:c r="F53" s="60" t="n">
        <x:v>0</x:v>
      </x:c>
      <x:c r="G53" s="60" t="n">
        <x:v>50</x:v>
      </x:c>
      <x:c r="H53" s="60"/>
      <x:c r="I53" s="60" t="str">
        <x:v>[]</x:v>
      </x:c>
      <x:c r="J53" s="60" t="str">
        <x:v>[]</x:v>
      </x:c>
      <x:c r="K53" s="60" t="n">
        <x:v>0</x:v>
      </x:c>
      <x:c r="L53" s="60" t="n">
        <x:v>0</x:v>
      </x:c>
      <x:c r="M53" s="60" t="str">
        <x:v>index.html</x:v>
      </x:c>
      <x:c r="N53" s="60" t="str">
        <x:v>與目前介面控制項同步。</x:v>
      </x:c>
    </x:row>
    <x:row r="54">
      <x:c r="A54" s="56" t="str">
        <x:v>stormCoa</x:v>
      </x:c>
      <x:c r="B54" s="56" t="str">
        <x:v>storm</x:v>
      </x:c>
      <x:c r="C54" s="56" t="str">
        <x:v>行動方案 COA</x:v>
      </x:c>
      <x:c r="D54" s="56" t="str">
        <x:v>select</x:v>
      </x:c>
      <x:c r="E54" s="56" t="str">
        <x:v>balanced</x:v>
      </x:c>
      <x:c r="F54" s="56"/>
      <x:c r="G54" s="56"/>
      <x:c r="H54" s="56"/>
      <x:c r="I54" s="56" t="str">
        <x:v>["balanced","concentrated","logistics","distributed"]</x:v>
      </x:c>
      <x:c r="J54" s="56" t="str">
        <x:v>["均衡韌性防衛","集中主要方向","後勤優先","分散式 ISR 與指管"]</x:v>
      </x:c>
      <x:c r="K54" s="56" t="n">
        <x:v>0</x:v>
      </x:c>
      <x:c r="L54" s="56" t="n">
        <x:v>0</x:v>
      </x:c>
      <x:c r="M54" s="56" t="str">
        <x:v>index.html</x:v>
      </x:c>
      <x:c r="N54" s="56" t="str">
        <x:v>與目前介面控制項同步。</x:v>
      </x:c>
    </x:row>
    <x:row r="55">
      <x:c r="A55" s="60" t="str">
        <x:v>stormReplications</x:v>
      </x:c>
      <x:c r="B55" s="60" t="str">
        <x:v>storm</x:v>
      </x:c>
      <x:c r="C55" s="60" t="str">
        <x:v>重複次數</x:v>
      </x:c>
      <x:c r="D55" s="60" t="str">
        <x:v>select</x:v>
      </x:c>
      <x:c r="E55" s="60" t="str">
        <x:v>100</x:v>
      </x:c>
      <x:c r="F55" s="60"/>
      <x:c r="G55" s="60"/>
      <x:c r="H55" s="60"/>
      <x:c r="I55" s="60" t="str">
        <x:v>["30","100","300","500"]</x:v>
      </x:c>
      <x:c r="J55" s="60" t="str">
        <x:v>["30 次：快速示範","100 次：一般分析","300 次：較穩定分布","500 次：進階比較"]</x:v>
      </x:c>
      <x:c r="K55" s="60" t="n">
        <x:v>0</x:v>
      </x:c>
      <x:c r="L55" s="60" t="n">
        <x:v>0</x:v>
      </x:c>
      <x:c r="M55" s="60" t="str">
        <x:v>index.html</x:v>
      </x:c>
      <x:c r="N55" s="60" t="str">
        <x:v>與目前介面控制項同步。</x:v>
      </x:c>
    </x:row>
    <x:row r="56">
      <x:c r="A56" s="56" t="str">
        <x:v>stormC2</x:v>
      </x:c>
      <x:c r="B56" s="56" t="str">
        <x:v>storm</x:v>
      </x:c>
      <x:c r="C56" s="56" t="str">
        <x:v>指揮管制品質 C2</x:v>
      </x:c>
      <x:c r="D56" s="56" t="str">
        <x:v>range</x:v>
      </x:c>
      <x:c r="E56" s="56" t="str">
        <x:v>72</x:v>
      </x:c>
      <x:c r="F56" s="56" t="n">
        <x:v>40</x:v>
      </x:c>
      <x:c r="G56" s="56" t="n">
        <x:v>100</x:v>
      </x:c>
      <x:c r="H56" s="56"/>
      <x:c r="I56" s="56" t="str">
        <x:v>[]</x:v>
      </x:c>
      <x:c r="J56" s="56" t="str">
        <x:v>[]</x:v>
      </x:c>
      <x:c r="K56" s="56" t="n">
        <x:v>0</x:v>
      </x:c>
      <x:c r="L56" s="56" t="n">
        <x:v>0</x:v>
      </x:c>
      <x:c r="M56" s="56" t="str">
        <x:v>index.html</x:v>
      </x:c>
      <x:c r="N56" s="56" t="str">
        <x:v>與目前介面控制項同步。</x:v>
      </x:c>
    </x:row>
    <x:row r="57">
      <x:c r="A57" s="60" t="str">
        <x:v>stormIsr</x:v>
      </x:c>
      <x:c r="B57" s="60" t="str">
        <x:v>storm</x:v>
      </x:c>
      <x:c r="C57" s="60" t="str">
        <x:v>情監偵／情報品質 ISR</x:v>
      </x:c>
      <x:c r="D57" s="60" t="str">
        <x:v>range</x:v>
      </x:c>
      <x:c r="E57" s="60" t="str">
        <x:v>68</x:v>
      </x:c>
      <x:c r="F57" s="60" t="n">
        <x:v>40</x:v>
      </x:c>
      <x:c r="G57" s="60" t="n">
        <x:v>100</x:v>
      </x:c>
      <x:c r="H57" s="60"/>
      <x:c r="I57" s="60" t="str">
        <x:v>[]</x:v>
      </x:c>
      <x:c r="J57" s="60" t="str">
        <x:v>[]</x:v>
      </x:c>
      <x:c r="K57" s="60" t="n">
        <x:v>0</x:v>
      </x:c>
      <x:c r="L57" s="60" t="n">
        <x:v>0</x:v>
      </x:c>
      <x:c r="M57" s="60" t="str">
        <x:v>index.html</x:v>
      </x:c>
      <x:c r="N57" s="60" t="str">
        <x:v>與目前介面控制項同步。</x:v>
      </x:c>
    </x:row>
    <x:row r="58">
      <x:c r="A58" s="56" t="str">
        <x:v>stormReadiness</x:v>
      </x:c>
      <x:c r="B58" s="56" t="str">
        <x:v>storm</x:v>
      </x:c>
      <x:c r="C58" s="56" t="str">
        <x:v>資產初始準備度</x:v>
      </x:c>
      <x:c r="D58" s="56" t="str">
        <x:v>range</x:v>
      </x:c>
      <x:c r="E58" s="56" t="str">
        <x:v>76</x:v>
      </x:c>
      <x:c r="F58" s="56" t="n">
        <x:v>40</x:v>
      </x:c>
      <x:c r="G58" s="56" t="n">
        <x:v>100</x:v>
      </x:c>
      <x:c r="H58" s="56"/>
      <x:c r="I58" s="56" t="str">
        <x:v>[]</x:v>
      </x:c>
      <x:c r="J58" s="56" t="str">
        <x:v>[]</x:v>
      </x:c>
      <x:c r="K58" s="56" t="n">
        <x:v>0</x:v>
      </x:c>
      <x:c r="L58" s="56" t="n">
        <x:v>0</x:v>
      </x:c>
      <x:c r="M58" s="56" t="str">
        <x:v>index.html</x:v>
      </x:c>
      <x:c r="N58" s="56" t="str">
        <x:v>與目前介面控制項同步。</x:v>
      </x:c>
    </x:row>
    <x:row r="59">
      <x:c r="A59" s="60" t="str">
        <x:v>stormSustainment</x:v>
      </x:c>
      <x:c r="B59" s="60" t="str">
        <x:v>storm</x:v>
      </x:c>
      <x:c r="C59" s="60" t="str">
        <x:v>後勤持續性</x:v>
      </x:c>
      <x:c r="D59" s="60" t="str">
        <x:v>range</x:v>
      </x:c>
      <x:c r="E59" s="60" t="str">
        <x:v>74</x:v>
      </x:c>
      <x:c r="F59" s="60" t="n">
        <x:v>40</x:v>
      </x:c>
      <x:c r="G59" s="60" t="n">
        <x:v>100</x:v>
      </x:c>
      <x:c r="H59" s="60"/>
      <x:c r="I59" s="60" t="str">
        <x:v>[]</x:v>
      </x:c>
      <x:c r="J59" s="60" t="str">
        <x:v>[]</x:v>
      </x:c>
      <x:c r="K59" s="60" t="n">
        <x:v>0</x:v>
      </x:c>
      <x:c r="L59" s="60" t="n">
        <x:v>0</x:v>
      </x:c>
      <x:c r="M59" s="60" t="str">
        <x:v>index.html</x:v>
      </x:c>
      <x:c r="N59" s="60" t="str">
        <x:v>與目前介面控制項同步。</x:v>
      </x:c>
    </x:row>
    <x:row r="60">
      <x:c r="A60" s="56" t="str">
        <x:v>stormMobility</x:v>
      </x:c>
      <x:c r="B60" s="56" t="str">
        <x:v>storm</x:v>
      </x:c>
      <x:c r="C60" s="56" t="str">
        <x:v>機動與運輸能力</x:v>
      </x:c>
      <x:c r="D60" s="56" t="str">
        <x:v>range</x:v>
      </x:c>
      <x:c r="E60" s="56" t="str">
        <x:v>70</x:v>
      </x:c>
      <x:c r="F60" s="56" t="n">
        <x:v>40</x:v>
      </x:c>
      <x:c r="G60" s="56" t="n">
        <x:v>100</x:v>
      </x:c>
      <x:c r="H60" s="56"/>
      <x:c r="I60" s="56" t="str">
        <x:v>[]</x:v>
      </x:c>
      <x:c r="J60" s="56" t="str">
        <x:v>[]</x:v>
      </x:c>
      <x:c r="K60" s="56" t="n">
        <x:v>0</x:v>
      </x:c>
      <x:c r="L60" s="56" t="n">
        <x:v>0</x:v>
      </x:c>
      <x:c r="M60" s="56" t="str">
        <x:v>index.html</x:v>
      </x:c>
      <x:c r="N60" s="56" t="str">
        <x:v>與目前介面控制項同步。</x:v>
      </x:c>
    </x:row>
    <x:row r="61">
      <x:c r="A61" s="60" t="str">
        <x:v>stormEnvironment</x:v>
      </x:c>
      <x:c r="B61" s="60" t="str">
        <x:v>storm</x:v>
      </x:c>
      <x:c r="C61" s="60" t="str">
        <x:v>環境嚴苛度</x:v>
      </x:c>
      <x:c r="D61" s="60" t="str">
        <x:v>range</x:v>
      </x:c>
      <x:c r="E61" s="60" t="str">
        <x:v>3</x:v>
      </x:c>
      <x:c r="F61" s="60" t="n">
        <x:v>1</x:v>
      </x:c>
      <x:c r="G61" s="60" t="n">
        <x:v>5</x:v>
      </x:c>
      <x:c r="H61" s="60"/>
      <x:c r="I61" s="60" t="str">
        <x:v>[]</x:v>
      </x:c>
      <x:c r="J61" s="60" t="str">
        <x:v>[]</x:v>
      </x:c>
      <x:c r="K61" s="60" t="n">
        <x:v>0</x:v>
      </x:c>
      <x:c r="L61" s="60" t="n">
        <x:v>0</x:v>
      </x:c>
      <x:c r="M61" s="60" t="str">
        <x:v>index.html</x:v>
      </x:c>
      <x:c r="N61" s="60" t="str">
        <x:v>與目前介面控制項同步。</x:v>
      </x:c>
    </x:row>
    <x:row r="62">
      <x:c r="A62" s="56" t="str">
        <x:v>stormPressure</x:v>
      </x:c>
      <x:c r="B62" s="56" t="str">
        <x:v>storm</x:v>
      </x:c>
      <x:c r="C62" s="56" t="str">
        <x:v>對手施壓強度</x:v>
      </x:c>
      <x:c r="D62" s="56" t="str">
        <x:v>range</x:v>
      </x:c>
      <x:c r="E62" s="56" t="str">
        <x:v>3</x:v>
      </x:c>
      <x:c r="F62" s="56" t="n">
        <x:v>1</x:v>
      </x:c>
      <x:c r="G62" s="56" t="n">
        <x:v>5</x:v>
      </x:c>
      <x:c r="H62" s="56"/>
      <x:c r="I62" s="56" t="str">
        <x:v>[]</x:v>
      </x:c>
      <x:c r="J62" s="56" t="str">
        <x:v>[]</x:v>
      </x:c>
      <x:c r="K62" s="56" t="n">
        <x:v>0</x:v>
      </x:c>
      <x:c r="L62" s="56" t="n">
        <x:v>0</x:v>
      </x:c>
      <x:c r="M62" s="56" t="str">
        <x:v>index.html</x:v>
      </x:c>
      <x:c r="N62" s="56" t="str">
        <x:v>與目前介面控制項同步。</x:v>
      </x:c>
    </x:row>
    <x:row r="63">
      <x:c r="A63" s="60" t="str">
        <x:v>stormCivil</x:v>
      </x:c>
      <x:c r="B63" s="60" t="str">
        <x:v>storm</x:v>
      </x:c>
      <x:c r="C63" s="60" t="str">
        <x:v>民事暴露程度</x:v>
      </x:c>
      <x:c r="D63" s="60" t="str">
        <x:v>range</x:v>
      </x:c>
      <x:c r="E63" s="60" t="str">
        <x:v>3</x:v>
      </x:c>
      <x:c r="F63" s="60" t="n">
        <x:v>1</x:v>
      </x:c>
      <x:c r="G63" s="60" t="n">
        <x:v>5</x:v>
      </x:c>
      <x:c r="H63" s="60"/>
      <x:c r="I63" s="60" t="str">
        <x:v>[]</x:v>
      </x:c>
      <x:c r="J63" s="60" t="str">
        <x:v>[]</x:v>
      </x:c>
      <x:c r="K63" s="60" t="n">
        <x:v>0</x:v>
      </x:c>
      <x:c r="L63" s="60" t="n">
        <x:v>0</x:v>
      </x:c>
      <x:c r="M63" s="60" t="str">
        <x:v>index.html</x:v>
      </x:c>
      <x:c r="N63" s="60" t="str">
        <x:v>與目前介面控制項同步。</x:v>
      </x:c>
    </x:row>
    <x:row r="64">
      <x:c r="A64" s="56" t="str">
        <x:v>stormSeed</x:v>
      </x:c>
      <x:c r="B64" s="56" t="str">
        <x:v>storm</x:v>
      </x:c>
      <x:c r="C64" s="56" t="str">
        <x:v>隨機種子</x:v>
      </x:c>
      <x:c r="D64" s="56" t="str">
        <x:v>number</x:v>
      </x:c>
      <x:c r="E64" s="56" t="str">
        <x:v>20260727</x:v>
      </x:c>
      <x:c r="F64" s="56" t="n">
        <x:v>1</x:v>
      </x:c>
      <x:c r="G64" s="56"/>
      <x:c r="H64" s="56"/>
      <x:c r="I64" s="56" t="str">
        <x:v>[]</x:v>
      </x:c>
      <x:c r="J64" s="56" t="str">
        <x:v>[]</x:v>
      </x:c>
      <x:c r="K64" s="56" t="n">
        <x:v>0</x:v>
      </x:c>
      <x:c r="L64" s="56" t="n">
        <x:v>0</x:v>
      </x:c>
      <x:c r="M64" s="56" t="str">
        <x:v>index.html</x:v>
      </x:c>
      <x:c r="N64" s="56" t="str">
        <x:v>與目前介面控制項同步。</x:v>
      </x:c>
    </x:row>
    <x:row r="65">
      <x:c r="A65" s="60" t="str">
        <x:v>stormThreshold</x:v>
      </x:c>
      <x:c r="B65" s="60" t="str">
        <x:v>storm</x:v>
      </x:c>
      <x:c r="C65" s="60" t="str">
        <x:v>成功門檻</x:v>
      </x:c>
      <x:c r="D65" s="60" t="str">
        <x:v>range</x:v>
      </x:c>
      <x:c r="E65" s="60" t="str">
        <x:v>60</x:v>
      </x:c>
      <x:c r="F65" s="60" t="n">
        <x:v>45</x:v>
      </x:c>
      <x:c r="G65" s="60" t="n">
        <x:v>80</x:v>
      </x:c>
      <x:c r="H65" s="60"/>
      <x:c r="I65" s="60" t="str">
        <x:v>[]</x:v>
      </x:c>
      <x:c r="J65" s="60" t="str">
        <x:v>[]</x:v>
      </x:c>
      <x:c r="K65" s="60" t="n">
        <x:v>0</x:v>
      </x:c>
      <x:c r="L65" s="60" t="n">
        <x:v>0</x:v>
      </x:c>
      <x:c r="M65" s="60" t="str">
        <x:v>index.html</x:v>
      </x:c>
      <x:c r="N65" s="60" t="str">
        <x:v>與目前介面控制項同步。</x:v>
      </x:c>
    </x:row>
  </x:sheetData>
  <x:mergeCells>
    <x:mergeCell ref="A1:N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32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42" hidden="0" customWidth="1"/>
    <x:col min="10" max="10" width="24" hidden="0" customWidth="1"/>
  </x:cols>
  <x:sheetData>
    <x:row r="1" ht="26" customHeight="1">
      <x:c r="A1" s="47" t="str">
        <x:v>合成資源預設值與介面限制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3" ht="30" customHeight="1">
      <x:c r="A3" s="52" t="str">
        <x:v>resource_id</x:v>
      </x:c>
      <x:c r="B3" s="52" t="str">
        <x:v>actor_id</x:v>
      </x:c>
      <x:c r="C3" s="52" t="str">
        <x:v>類別</x:v>
      </x:c>
      <x:c r="D3" s="52" t="str">
        <x:v>資源名稱</x:v>
      </x:c>
      <x:c r="E3" s="52" t="str">
        <x:v>預設值</x:v>
      </x:c>
      <x:c r="F3" s="52" t="str">
        <x:v>最小值</x:v>
      </x:c>
      <x:c r="G3" s="52" t="str">
        <x:v>最大值</x:v>
      </x:c>
      <x:c r="H3" s="52" t="str">
        <x:v>單位</x:v>
      </x:c>
      <x:c r="I3" s="52" t="str">
        <x:v>效果說明</x:v>
      </x:c>
      <x:c r="J3" s="52" t="str">
        <x:v>資料分類</x:v>
      </x:c>
    </x:row>
    <x:row r="4">
      <x:c r="A4" s="56" t="str">
        <x:v>blueAircraft</x:v>
      </x:c>
      <x:c r="B4" s="56" t="str">
        <x:v>BLUE</x:v>
      </x:c>
      <x:c r="C4" s="56" t="str">
        <x:v>航空</x:v>
      </x:c>
      <x:c r="D4" s="56" t="str">
        <x:v>藍方可用航空架次</x:v>
      </x:c>
      <x:c r="E4" s="56" t="n">
        <x:v>48</x:v>
      </x:c>
      <x:c r="F4" s="56" t="n">
        <x:v>0</x:v>
      </x:c>
      <x:c r="G4" s="56" t="n">
        <x:v>240</x:v>
      </x:c>
      <x:c r="H4" s="56" t="str">
        <x:v>合成單位</x:v>
      </x:c>
      <x:c r="I4" s="56" t="str">
        <x:v>影響藍方資源平衡</x:v>
      </x:c>
      <x:c r="J4" s="56" t="str">
        <x:v>EDUCATIONAL_SYNTHETIC</x:v>
      </x:c>
    </x:row>
    <x:row r="5">
      <x:c r="A5" s="60" t="str">
        <x:v>blueInterceptors</x:v>
      </x:c>
      <x:c r="B5" s="60" t="str">
        <x:v>BLUE</x:v>
      </x:c>
      <x:c r="C5" s="60" t="str">
        <x:v>防空</x:v>
      </x:c>
      <x:c r="D5" s="60" t="str">
        <x:v>藍方攔截彈庫存</x:v>
      </x:c>
      <x:c r="E5" s="60" t="n">
        <x:v>160</x:v>
      </x:c>
      <x:c r="F5" s="60" t="n">
        <x:v>0</x:v>
      </x:c>
      <x:c r="G5" s="60" t="n">
        <x:v>600</x:v>
      </x:c>
      <x:c r="H5" s="60" t="str">
        <x:v>合成單位</x:v>
      </x:c>
      <x:c r="I5" s="60" t="str">
        <x:v>影響藍方資源平衡</x:v>
      </x:c>
      <x:c r="J5" s="60" t="str">
        <x:v>EDUCATIONAL_SYNTHETIC</x:v>
      </x:c>
    </x:row>
    <x:row r="6">
      <x:c r="A6" s="56" t="str">
        <x:v>blueVessels</x:v>
      </x:c>
      <x:c r="B6" s="56" t="str">
        <x:v>BLUE</x:v>
      </x:c>
      <x:c r="C6" s="56" t="str">
        <x:v>海上</x:v>
      </x:c>
      <x:c r="D6" s="56" t="str">
        <x:v>藍方海上巡防平台</x:v>
      </x:c>
      <x:c r="E6" s="56" t="n">
        <x:v>14</x:v>
      </x:c>
      <x:c r="F6" s="56" t="n">
        <x:v>0</x:v>
      </x:c>
      <x:c r="G6" s="56" t="n">
        <x:v>80</x:v>
      </x:c>
      <x:c r="H6" s="56" t="str">
        <x:v>合成單位</x:v>
      </x:c>
      <x:c r="I6" s="56" t="str">
        <x:v>影響藍方資源平衡</x:v>
      </x:c>
      <x:c r="J6" s="56" t="str">
        <x:v>EDUCATIONAL_SYNTHETIC</x:v>
      </x:c>
    </x:row>
    <x:row r="7">
      <x:c r="A7" s="60" t="str">
        <x:v>blueLogistics</x:v>
      </x:c>
      <x:c r="B7" s="60" t="str">
        <x:v>BLUE</x:v>
      </x:c>
      <x:c r="C7" s="60" t="str">
        <x:v>後勤</x:v>
      </x:c>
      <x:c r="D7" s="60" t="str">
        <x:v>藍方後勤補給批次</x:v>
      </x:c>
      <x:c r="E7" s="60" t="n">
        <x:v>72</x:v>
      </x:c>
      <x:c r="F7" s="60" t="n">
        <x:v>0</x:v>
      </x:c>
      <x:c r="G7" s="60" t="n">
        <x:v>240</x:v>
      </x:c>
      <x:c r="H7" s="60" t="str">
        <x:v>合成單位</x:v>
      </x:c>
      <x:c r="I7" s="60" t="str">
        <x:v>影響藍方資源平衡</x:v>
      </x:c>
      <x:c r="J7" s="60" t="str">
        <x:v>EDUCATIONAL_SYNTHETIC</x:v>
      </x:c>
    </x:row>
    <x:row r="8">
      <x:c r="A8" s="56" t="str">
        <x:v>blueDrones</x:v>
      </x:c>
      <x:c r="B8" s="56" t="str">
        <x:v>BLUE</x:v>
      </x:c>
      <x:c r="C8" s="56" t="str">
        <x:v>無人系統</x:v>
      </x:c>
      <x:c r="D8" s="56" t="str">
        <x:v>藍方無人機任務批次</x:v>
      </x:c>
      <x:c r="E8" s="56" t="n">
        <x:v>120</x:v>
      </x:c>
      <x:c r="F8" s="56" t="n">
        <x:v>0</x:v>
      </x:c>
      <x:c r="G8" s="56" t="n">
        <x:v>1000</x:v>
      </x:c>
      <x:c r="H8" s="56" t="str">
        <x:v>合成單位</x:v>
      </x:c>
      <x:c r="I8" s="56" t="str">
        <x:v>影響藍方資源平衡與初始情報品質</x:v>
      </x:c>
      <x:c r="J8" s="56" t="str">
        <x:v>EDUCATIONAL_SYNTHETIC</x:v>
      </x:c>
    </x:row>
    <x:row r="9">
      <x:c r="A9" s="60" t="str">
        <x:v>starlinkNodes</x:v>
      </x:c>
      <x:c r="B9" s="60" t="str">
        <x:v>BLUE</x:v>
      </x:c>
      <x:c r="C9" s="60" t="str">
        <x:v>衛星通訊</x:v>
      </x:c>
      <x:c r="D9" s="60" t="str">
        <x:v>星鏈備援通訊節點</x:v>
      </x:c>
      <x:c r="E9" s="60" t="n">
        <x:v>24</x:v>
      </x:c>
      <x:c r="F9" s="60" t="n">
        <x:v>0</x:v>
      </x:c>
      <x:c r="G9" s="60" t="n">
        <x:v>200</x:v>
      </x:c>
      <x:c r="H9" s="60" t="str">
        <x:v>合成單位</x:v>
      </x:c>
      <x:c r="I9" s="60" t="str">
        <x:v>影響藍方資源平衡與初始指管品質</x:v>
      </x:c>
      <x:c r="J9" s="60" t="str">
        <x:v>EDUCATIONAL_SYNTHETIC</x:v>
      </x:c>
    </x:row>
    <x:row r="10">
      <x:c r="A10" s="56" t="str">
        <x:v>highAltitudePlatforms</x:v>
      </x:c>
      <x:c r="B10" s="56" t="str">
        <x:v>BLUE</x:v>
      </x:c>
      <x:c r="C10" s="56" t="str">
        <x:v>高空通訊</x:v>
      </x:c>
      <x:c r="D10" s="56" t="str">
        <x:v>高空通訊平臺</x:v>
      </x:c>
      <x:c r="E10" s="56" t="n">
        <x:v>6</x:v>
      </x:c>
      <x:c r="F10" s="56" t="n">
        <x:v>0</x:v>
      </x:c>
      <x:c r="G10" s="56" t="n">
        <x:v>50</x:v>
      </x:c>
      <x:c r="H10" s="56" t="str">
        <x:v>合成單位</x:v>
      </x:c>
      <x:c r="I10" s="56" t="str">
        <x:v>影響藍方資源平衡與初始指管品質</x:v>
      </x:c>
      <x:c r="J10" s="56" t="str">
        <x:v>EDUCATIONAL_SYNTHETIC</x:v>
      </x:c>
    </x:row>
    <x:row r="11">
      <x:c r="A11" s="60" t="str">
        <x:v>redAircraft</x:v>
      </x:c>
      <x:c r="B11" s="60" t="str">
        <x:v>RED</x:v>
      </x:c>
      <x:c r="C11" s="60" t="str">
        <x:v>航空</x:v>
      </x:c>
      <x:c r="D11" s="60" t="str">
        <x:v>紅方航空架次</x:v>
      </x:c>
      <x:c r="E11" s="60" t="n">
        <x:v>96</x:v>
      </x:c>
      <x:c r="F11" s="60" t="n">
        <x:v>0</x:v>
      </x:c>
      <x:c r="G11" s="60" t="n">
        <x:v>360</x:v>
      </x:c>
      <x:c r="H11" s="60" t="str">
        <x:v>合成單位</x:v>
      </x:c>
      <x:c r="I11" s="60" t="str">
        <x:v>影響紅方資源平衡</x:v>
      </x:c>
      <x:c r="J11" s="60" t="str">
        <x:v>EDUCATIONAL_SYNTHETIC</x:v>
      </x:c>
    </x:row>
    <x:row r="12">
      <x:c r="A12" s="56" t="str">
        <x:v>redIncoming</x:v>
      </x:c>
      <x:c r="B12" s="56" t="str">
        <x:v>RED</x:v>
      </x:c>
      <x:c r="C12" s="56" t="str">
        <x:v>合成目標</x:v>
      </x:c>
      <x:c r="D12" s="56" t="str">
        <x:v>紅方合成來襲目標</x:v>
      </x:c>
      <x:c r="E12" s="56" t="n">
        <x:v>180</x:v>
      </x:c>
      <x:c r="F12" s="56" t="n">
        <x:v>0</x:v>
      </x:c>
      <x:c r="G12" s="56" t="n">
        <x:v>600</x:v>
      </x:c>
      <x:c r="H12" s="56" t="str">
        <x:v>合成單位</x:v>
      </x:c>
      <x:c r="I12" s="56" t="str">
        <x:v>影響紅方資源平衡</x:v>
      </x:c>
      <x:c r="J12" s="56" t="str">
        <x:v>EDUCATIONAL_SYNTHETIC</x:v>
      </x:c>
    </x:row>
    <x:row r="13">
      <x:c r="A13" s="60" t="str">
        <x:v>redVessels</x:v>
      </x:c>
      <x:c r="B13" s="60" t="str">
        <x:v>RED</x:v>
      </x:c>
      <x:c r="C13" s="60" t="str">
        <x:v>海上</x:v>
      </x:c>
      <x:c r="D13" s="60" t="str">
        <x:v>紅方海上平台</x:v>
      </x:c>
      <x:c r="E13" s="60" t="n">
        <x:v>24</x:v>
      </x:c>
      <x:c r="F13" s="60" t="n">
        <x:v>0</x:v>
      </x:c>
      <x:c r="G13" s="60" t="n">
        <x:v>100</x:v>
      </x:c>
      <x:c r="H13" s="60" t="str">
        <x:v>合成單位</x:v>
      </x:c>
      <x:c r="I13" s="60" t="str">
        <x:v>影響紅方資源平衡</x:v>
      </x:c>
      <x:c r="J13" s="60" t="str">
        <x:v>EDUCATIONAL_SYNTHETIC</x:v>
      </x:c>
    </x:row>
    <x:row r="14">
      <x:c r="A14" s="56" t="str">
        <x:v>redLogistics</x:v>
      </x:c>
      <x:c r="B14" s="56" t="str">
        <x:v>RED</x:v>
      </x:c>
      <x:c r="C14" s="56" t="str">
        <x:v>後勤</x:v>
      </x:c>
      <x:c r="D14" s="56" t="str">
        <x:v>紅方後勤補給批次</x:v>
      </x:c>
      <x:c r="E14" s="56" t="n">
        <x:v>84</x:v>
      </x:c>
      <x:c r="F14" s="56" t="n">
        <x:v>0</x:v>
      </x:c>
      <x:c r="G14" s="56" t="n">
        <x:v>240</x:v>
      </x:c>
      <x:c r="H14" s="56" t="str">
        <x:v>合成單位</x:v>
      </x:c>
      <x:c r="I14" s="56" t="str">
        <x:v>影響紅方資源平衡</x:v>
      </x:c>
      <x:c r="J14" s="56" t="str">
        <x:v>EDUCATIONAL_SYNTHETIC</x:v>
      </x:c>
    </x:row>
  </x:sheetData>
  <x:mergeCells>
    <x:mergeCell ref="A1:J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8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5" hidden="0" customWidth="1"/>
    <x:col min="9" max="9" width="24" hidden="0" customWidth="1"/>
    <x:col min="10" max="10" width="50" hidden="0" customWidth="1"/>
  </x:cols>
  <x:sheetData>
    <x:row r="1" ht="26" customHeight="1">
      <x:c r="A1" s="47" t="str">
        <x:v>回合行動目錄與抽象裁決修正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3" ht="30" customHeight="1">
      <x:c r="A3" s="52" t="str">
        <x:v>action_id</x:v>
      </x:c>
      <x:c r="B3" s="52" t="str">
        <x:v>actor_id</x:v>
      </x:c>
      <x:c r="C3" s="52" t="str">
        <x:v>行動名稱</x:v>
      </x:c>
      <x:c r="D3" s="52" t="str">
        <x:v>準備度修正</x:v>
      </x:c>
      <x:c r="E3" s="52" t="str">
        <x:v>持續性修正</x:v>
      </x:c>
      <x:c r="F3" s="52" t="str">
        <x:v>指管修正</x:v>
      </x:c>
      <x:c r="G3" s="52" t="str">
        <x:v>情報修正</x:v>
      </x:c>
      <x:c r="H3" s="52" t="str">
        <x:v>民事風險修正</x:v>
      </x:c>
      <x:c r="I3" s="52" t="str">
        <x:v>資料分類</x:v>
      </x:c>
      <x:c r="J3" s="52" t="str">
        <x:v>備註</x:v>
      </x:c>
    </x:row>
    <x:row r="4">
      <x:c r="A4" s="56" t="str">
        <x:v>ACT-BLUE-01</x:v>
      </x:c>
      <x:c r="B4" s="56" t="str">
        <x:v>BLUE</x:v>
      </x:c>
      <x:c r="C4" s="56" t="str">
        <x:v>強化防空警戒</x:v>
      </x:c>
      <x:c r="D4" s="56" t="n">
        <x:v>2</x:v>
      </x:c>
      <x:c r="E4" s="56" t="n">
        <x:v>0</x:v>
      </x:c>
      <x:c r="F4" s="56" t="n">
        <x:v>1</x:v>
      </x:c>
      <x:c r="G4" s="56" t="n">
        <x:v>1</x:v>
      </x:c>
      <x:c r="H4" s="56" t="n">
        <x:v>1</x:v>
      </x:c>
      <x:c r="I4" s="56" t="str">
        <x:v>EDUCATIONAL_SYNTHETIC</x:v>
      </x:c>
      <x:c r="J4" s="56" t="str">
        <x:v>與 app.js ACTIONS 同步；數值為抽象教育裁決修正。</x:v>
      </x:c>
    </x:row>
    <x:row r="5">
      <x:c r="A5" s="60" t="str">
        <x:v>ACT-BLUE-02</x:v>
      </x:c>
      <x:c r="B5" s="60" t="str">
        <x:v>BLUE</x:v>
      </x:c>
      <x:c r="C5" s="60" t="str">
        <x:v>商船護航</x:v>
      </x:c>
      <x:c r="D5" s="60" t="n">
        <x:v>0</x:v>
      </x:c>
      <x:c r="E5" s="60" t="n">
        <x:v>-1</x:v>
      </x:c>
      <x:c r="F5" s="60" t="n">
        <x:v>1</x:v>
      </x:c>
      <x:c r="G5" s="60" t="n">
        <x:v>0</x:v>
      </x:c>
      <x:c r="H5" s="60" t="n">
        <x:v>-3</x:v>
      </x:c>
      <x:c r="I5" s="60" t="str">
        <x:v>EDUCATIONAL_SYNTHETIC</x:v>
      </x:c>
      <x:c r="J5" s="60" t="str">
        <x:v>與 app.js ACTIONS 同步；數值為抽象教育裁決修正。</x:v>
      </x:c>
    </x:row>
    <x:row r="6">
      <x:c r="A6" s="56" t="str">
        <x:v>ACT-BLUE-03</x:v>
      </x:c>
      <x:c r="B6" s="56" t="str">
        <x:v>BLUE</x:v>
      </x:c>
      <x:c r="C6" s="56" t="str">
        <x:v>分散部署</x:v>
      </x:c>
      <x:c r="D6" s="56" t="n">
        <x:v>1</x:v>
      </x:c>
      <x:c r="E6" s="56" t="n">
        <x:v>-1</x:v>
      </x:c>
      <x:c r="F6" s="56" t="n">
        <x:v>0</x:v>
      </x:c>
      <x:c r="G6" s="56" t="n">
        <x:v>0</x:v>
      </x:c>
      <x:c r="H6" s="56" t="n">
        <x:v>0</x:v>
      </x:c>
      <x:c r="I6" s="56" t="str">
        <x:v>EDUCATIONAL_SYNTHETIC</x:v>
      </x:c>
      <x:c r="J6" s="56" t="str">
        <x:v>與 app.js ACTIONS 同步；數值為抽象教育裁決修正。</x:v>
      </x:c>
    </x:row>
    <x:row r="7">
      <x:c r="A7" s="60" t="str">
        <x:v>ACT-BLUE-04</x:v>
      </x:c>
      <x:c r="B7" s="60" t="str">
        <x:v>BLUE</x:v>
      </x:c>
      <x:c r="C7" s="60" t="str">
        <x:v>備援通訊</x:v>
      </x:c>
      <x:c r="D7" s="60" t="n">
        <x:v>0</x:v>
      </x:c>
      <x:c r="E7" s="60" t="n">
        <x:v>0</x:v>
      </x:c>
      <x:c r="F7" s="60" t="n">
        <x:v>4</x:v>
      </x:c>
      <x:c r="G7" s="60" t="n">
        <x:v>1</x:v>
      </x:c>
      <x:c r="H7" s="60" t="n">
        <x:v>0</x:v>
      </x:c>
      <x:c r="I7" s="60" t="str">
        <x:v>EDUCATIONAL_SYNTHETIC</x:v>
      </x:c>
      <x:c r="J7" s="60" t="str">
        <x:v>與 app.js ACTIONS 同步；數值為抽象教育裁決修正。</x:v>
      </x:c>
    </x:row>
    <x:row r="8">
      <x:c r="A8" s="56" t="str">
        <x:v>ACT-BLUE-05</x:v>
      </x:c>
      <x:c r="B8" s="56" t="str">
        <x:v>BLUE</x:v>
      </x:c>
      <x:c r="C8" s="56" t="str">
        <x:v>後勤修復</x:v>
      </x:c>
      <x:c r="D8" s="56" t="n">
        <x:v>1</x:v>
      </x:c>
      <x:c r="E8" s="56" t="n">
        <x:v>5</x:v>
      </x:c>
      <x:c r="F8" s="56" t="n">
        <x:v>0</x:v>
      </x:c>
      <x:c r="G8" s="56" t="n">
        <x:v>0</x:v>
      </x:c>
      <x:c r="H8" s="56" t="n">
        <x:v>0</x:v>
      </x:c>
      <x:c r="I8" s="56" t="str">
        <x:v>EDUCATIONAL_SYNTHETIC</x:v>
      </x:c>
      <x:c r="J8" s="56" t="str">
        <x:v>與 app.js ACTIONS 同步；數值為抽象教育裁決修正。</x:v>
      </x:c>
    </x:row>
    <x:row r="9">
      <x:c r="A9" s="60" t="str">
        <x:v>ACT-BLUE-06</x:v>
      </x:c>
      <x:c r="B9" s="60" t="str">
        <x:v>BLUE</x:v>
      </x:c>
      <x:c r="C9" s="60" t="str">
        <x:v>情報融合</x:v>
      </x:c>
      <x:c r="D9" s="60" t="n">
        <x:v>0</x:v>
      </x:c>
      <x:c r="E9" s="60" t="n">
        <x:v>0</x:v>
      </x:c>
      <x:c r="F9" s="60" t="n">
        <x:v>1</x:v>
      </x:c>
      <x:c r="G9" s="60" t="n">
        <x:v>5</x:v>
      </x:c>
      <x:c r="H9" s="60" t="n">
        <x:v>0</x:v>
      </x:c>
      <x:c r="I9" s="60" t="str">
        <x:v>EDUCATIONAL_SYNTHETIC</x:v>
      </x:c>
      <x:c r="J9" s="60" t="str">
        <x:v>與 app.js ACTIONS 同步；數值為抽象教育裁決修正。</x:v>
      </x:c>
    </x:row>
    <x:row r="10">
      <x:c r="A10" s="56" t="str">
        <x:v>ACT-BLUE-07</x:v>
      </x:c>
      <x:c r="B10" s="56" t="str">
        <x:v>BLUE</x:v>
      </x:c>
      <x:c r="C10" s="56" t="str">
        <x:v>無人機偵察與通訊中繼</x:v>
      </x:c>
      <x:c r="D10" s="56" t="n">
        <x:v>1</x:v>
      </x:c>
      <x:c r="E10" s="56" t="n">
        <x:v>-1</x:v>
      </x:c>
      <x:c r="F10" s="56" t="n">
        <x:v>2</x:v>
      </x:c>
      <x:c r="G10" s="56" t="n">
        <x:v>5</x:v>
      </x:c>
      <x:c r="H10" s="56" t="n">
        <x:v>0</x:v>
      </x:c>
      <x:c r="I10" s="56" t="str">
        <x:v>EDUCATIONAL_SYNTHETIC</x:v>
      </x:c>
      <x:c r="J10" s="56" t="str">
        <x:v>與 app.js ACTIONS 同步；數值為抽象教育裁決修正。</x:v>
      </x:c>
    </x:row>
    <x:row r="11">
      <x:c r="A11" s="60" t="str">
        <x:v>ACT-BLUE-08</x:v>
      </x:c>
      <x:c r="B11" s="60" t="str">
        <x:v>BLUE</x:v>
      </x:c>
      <x:c r="C11" s="60" t="str">
        <x:v>星鏈與高空平臺備援通訊</x:v>
      </x:c>
      <x:c r="D11" s="60" t="n">
        <x:v>1</x:v>
      </x:c>
      <x:c r="E11" s="60" t="n">
        <x:v>-1</x:v>
      </x:c>
      <x:c r="F11" s="60" t="n">
        <x:v>6</x:v>
      </x:c>
      <x:c r="G11" s="60" t="n">
        <x:v>2</x:v>
      </x:c>
      <x:c r="H11" s="60" t="n">
        <x:v>0</x:v>
      </x:c>
      <x:c r="I11" s="60" t="str">
        <x:v>EDUCATIONAL_SYNTHETIC</x:v>
      </x:c>
      <x:c r="J11" s="60" t="str">
        <x:v>與 app.js ACTIONS 同步；數值為抽象教育裁決修正。</x:v>
      </x:c>
    </x:row>
    <x:row r="12">
      <x:c r="A12" s="56" t="str">
        <x:v>ACT-BLUE-09</x:v>
      </x:c>
      <x:c r="B12" s="56" t="str">
        <x:v>BLUE</x:v>
      </x:c>
      <x:c r="C12" s="56" t="str">
        <x:v>能源配給與電網調度</x:v>
      </x:c>
      <x:c r="D12" s="56" t="n">
        <x:v>-1</x:v>
      </x:c>
      <x:c r="E12" s="56" t="n">
        <x:v>4</x:v>
      </x:c>
      <x:c r="F12" s="56" t="n">
        <x:v>2</x:v>
      </x:c>
      <x:c r="G12" s="56" t="n">
        <x:v>0</x:v>
      </x:c>
      <x:c r="H12" s="56" t="n">
        <x:v>-3</x:v>
      </x:c>
      <x:c r="I12" s="56" t="str">
        <x:v>EDUCATIONAL_SYNTHETIC</x:v>
      </x:c>
      <x:c r="J12" s="56" t="str">
        <x:v>與 app.js ACTIONS 同步；數值為抽象教育裁決修正。</x:v>
      </x:c>
    </x:row>
    <x:row r="13">
      <x:c r="A13" s="60" t="str">
        <x:v>ACT-BLUE-10</x:v>
      </x:c>
      <x:c r="B13" s="60" t="str">
        <x:v>BLUE</x:v>
      </x:c>
      <x:c r="C13" s="60" t="str">
        <x:v>經濟持續運作協調</x:v>
      </x:c>
      <x:c r="D13" s="60" t="n">
        <x:v>0</x:v>
      </x:c>
      <x:c r="E13" s="60" t="n">
        <x:v>3</x:v>
      </x:c>
      <x:c r="F13" s="60" t="n">
        <x:v>2</x:v>
      </x:c>
      <x:c r="G13" s="60" t="n">
        <x:v>0</x:v>
      </x:c>
      <x:c r="H13" s="60" t="n">
        <x:v>-4</x:v>
      </x:c>
      <x:c r="I13" s="60" t="str">
        <x:v>EDUCATIONAL_SYNTHETIC</x:v>
      </x:c>
      <x:c r="J13" s="60" t="str">
        <x:v>與 app.js ACTIONS 同步；數值為抽象教育裁決修正。</x:v>
      </x:c>
    </x:row>
    <x:row r="14">
      <x:c r="A14" s="56" t="str">
        <x:v>ACT-RED-01</x:v>
      </x:c>
      <x:c r="B14" s="56" t="str">
        <x:v>RED</x:v>
      </x:c>
      <x:c r="C14" s="56" t="str">
        <x:v>增加空中施壓</x:v>
      </x:c>
      <x:c r="D14" s="56" t="n">
        <x:v>-1</x:v>
      </x:c>
      <x:c r="E14" s="56" t="n">
        <x:v>0</x:v>
      </x:c>
      <x:c r="F14" s="56" t="n">
        <x:v>1</x:v>
      </x:c>
      <x:c r="G14" s="56" t="n">
        <x:v>0</x:v>
      </x:c>
      <x:c r="H14" s="56" t="n">
        <x:v>3</x:v>
      </x:c>
      <x:c r="I14" s="56" t="str">
        <x:v>EDUCATIONAL_SYNTHETIC</x:v>
      </x:c>
      <x:c r="J14" s="56" t="str">
        <x:v>與 app.js ACTIONS 同步；數值為抽象教育裁決修正。</x:v>
      </x:c>
    </x:row>
    <x:row r="15">
      <x:c r="A15" s="60" t="str">
        <x:v>ACT-RED-02</x:v>
      </x:c>
      <x:c r="B15" s="60" t="str">
        <x:v>RED</x:v>
      </x:c>
      <x:c r="C15" s="60" t="str">
        <x:v>海上臨檢演示</x:v>
      </x:c>
      <x:c r="D15" s="60" t="n">
        <x:v>0</x:v>
      </x:c>
      <x:c r="E15" s="60" t="n">
        <x:v>-1</x:v>
      </x:c>
      <x:c r="F15" s="60" t="n">
        <x:v>0</x:v>
      </x:c>
      <x:c r="G15" s="60" t="n">
        <x:v>1</x:v>
      </x:c>
      <x:c r="H15" s="60" t="n">
        <x:v>4</x:v>
      </x:c>
      <x:c r="I15" s="60" t="str">
        <x:v>EDUCATIONAL_SYNTHETIC</x:v>
      </x:c>
      <x:c r="J15" s="60" t="str">
        <x:v>與 app.js ACTIONS 同步；數值為抽象教育裁決修正。</x:v>
      </x:c>
    </x:row>
    <x:row r="16">
      <x:c r="A16" s="56" t="str">
        <x:v>ACT-RED-03</x:v>
      </x:c>
      <x:c r="B16" s="56" t="str">
        <x:v>RED</x:v>
      </x:c>
      <x:c r="C16" s="56" t="str">
        <x:v>電磁壓制</x:v>
      </x:c>
      <x:c r="D16" s="56" t="n">
        <x:v>0</x:v>
      </x:c>
      <x:c r="E16" s="56" t="n">
        <x:v>0</x:v>
      </x:c>
      <x:c r="F16" s="56" t="n">
        <x:v>2</x:v>
      </x:c>
      <x:c r="G16" s="56" t="n">
        <x:v>2</x:v>
      </x:c>
      <x:c r="H16" s="56" t="n">
        <x:v>2</x:v>
      </x:c>
      <x:c r="I16" s="56" t="str">
        <x:v>EDUCATIONAL_SYNTHETIC</x:v>
      </x:c>
      <x:c r="J16" s="56" t="str">
        <x:v>與 app.js ACTIONS 同步；數值為抽象教育裁決修正。</x:v>
      </x:c>
    </x:row>
    <x:row r="17">
      <x:c r="A17" s="60" t="str">
        <x:v>ACT-RED-04</x:v>
      </x:c>
      <x:c r="B17" s="60" t="str">
        <x:v>RED</x:v>
      </x:c>
      <x:c r="C17" s="60" t="str">
        <x:v>遠程火力展示</x:v>
      </x:c>
      <x:c r="D17" s="60" t="n">
        <x:v>-2</x:v>
      </x:c>
      <x:c r="E17" s="60" t="n">
        <x:v>0</x:v>
      </x:c>
      <x:c r="F17" s="60" t="n">
        <x:v>0</x:v>
      </x:c>
      <x:c r="G17" s="60" t="n">
        <x:v>0</x:v>
      </x:c>
      <x:c r="H17" s="60" t="n">
        <x:v>6</x:v>
      </x:c>
      <x:c r="I17" s="60" t="str">
        <x:v>EDUCATIONAL_SYNTHETIC</x:v>
      </x:c>
      <x:c r="J17" s="60" t="str">
        <x:v>與 app.js ACTIONS 同步；數值為抽象教育裁決修正。</x:v>
      </x:c>
    </x:row>
    <x:row r="18">
      <x:c r="A18" s="56" t="str">
        <x:v>ACT-RED-05</x:v>
      </x:c>
      <x:c r="B18" s="56" t="str">
        <x:v>RED</x:v>
      </x:c>
      <x:c r="C18" s="56" t="str">
        <x:v>調整封控區</x:v>
      </x:c>
      <x:c r="D18" s="56" t="n">
        <x:v>0</x:v>
      </x:c>
      <x:c r="E18" s="56" t="n">
        <x:v>1</x:v>
      </x:c>
      <x:c r="F18" s="56" t="n">
        <x:v>1</x:v>
      </x:c>
      <x:c r="G18" s="56" t="n">
        <x:v>0</x:v>
      </x:c>
      <x:c r="H18" s="56" t="n">
        <x:v>3</x:v>
      </x:c>
      <x:c r="I18" s="56" t="str">
        <x:v>EDUCATIONAL_SYNTHETIC</x:v>
      </x:c>
      <x:c r="J18" s="56" t="str">
        <x:v>與 app.js ACTIONS 同步；數值為抽象教育裁決修正。</x:v>
      </x:c>
    </x:row>
    <x:row r="19">
      <x:c r="A19" s="60" t="str">
        <x:v>ACT-RED-06</x:v>
      </x:c>
      <x:c r="B19" s="60" t="str">
        <x:v>RED</x:v>
      </x:c>
      <x:c r="C19" s="60" t="str">
        <x:v>外交訊息操作</x:v>
      </x:c>
      <x:c r="D19" s="60" t="n">
        <x:v>0</x:v>
      </x:c>
      <x:c r="E19" s="60" t="n">
        <x:v>0</x:v>
      </x:c>
      <x:c r="F19" s="60" t="n">
        <x:v>1</x:v>
      </x:c>
      <x:c r="G19" s="60" t="n">
        <x:v>2</x:v>
      </x:c>
      <x:c r="H19" s="60" t="n">
        <x:v>-1</x:v>
      </x:c>
      <x:c r="I19" s="60" t="str">
        <x:v>EDUCATIONAL_SYNTHETIC</x:v>
      </x:c>
      <x:c r="J19" s="60" t="str">
        <x:v>與 app.js ACTIONS 同步；數值為抽象教育裁決修正。</x:v>
      </x:c>
    </x:row>
    <x:row r="20">
      <x:c r="A20" s="56" t="str">
        <x:v>ACT-RED-07</x:v>
      </x:c>
      <x:c r="B20" s="56" t="str">
        <x:v>RED</x:v>
      </x:c>
      <x:c r="C20" s="56" t="str">
        <x:v>海警與海上民兵執法封控</x:v>
      </x:c>
      <x:c r="D20" s="56" t="n">
        <x:v>0</x:v>
      </x:c>
      <x:c r="E20" s="56" t="n">
        <x:v>1</x:v>
      </x:c>
      <x:c r="F20" s="56" t="n">
        <x:v>1</x:v>
      </x:c>
      <x:c r="G20" s="56" t="n">
        <x:v>2</x:v>
      </x:c>
      <x:c r="H20" s="56" t="n">
        <x:v>5</x:v>
      </x:c>
      <x:c r="I20" s="56" t="str">
        <x:v>EDUCATIONAL_SYNTHETIC</x:v>
      </x:c>
      <x:c r="J20" s="56" t="str">
        <x:v>與 app.js ACTIONS 同步；數值為抽象教育裁決修正。</x:v>
      </x:c>
    </x:row>
    <x:row r="21">
      <x:c r="A21" s="60" t="str">
        <x:v>ACT-AMBER-01</x:v>
      </x:c>
      <x:c r="B21" s="60" t="str">
        <x:v>AMBER</x:v>
      </x:c>
      <x:c r="C21" s="60" t="str">
        <x:v>提供ISR支援</x:v>
      </x:c>
      <x:c r="D21" s="60" t="n">
        <x:v>0</x:v>
      </x:c>
      <x:c r="E21" s="60" t="n">
        <x:v>0</x:v>
      </x:c>
      <x:c r="F21" s="60" t="n">
        <x:v>1</x:v>
      </x:c>
      <x:c r="G21" s="60" t="n">
        <x:v>6</x:v>
      </x:c>
      <x:c r="H21" s="60" t="n">
        <x:v>0</x:v>
      </x:c>
      <x:c r="I21" s="60" t="str">
        <x:v>EDUCATIONAL_SYNTHETIC</x:v>
      </x:c>
      <x:c r="J21" s="60" t="str">
        <x:v>與 app.js ACTIONS 同步；數值為抽象教育裁決修正。</x:v>
      </x:c>
    </x:row>
    <x:row r="22">
      <x:c r="A22" s="56" t="str">
        <x:v>ACT-AMBER-02</x:v>
      </x:c>
      <x:c r="B22" s="56" t="str">
        <x:v>AMBER</x:v>
      </x:c>
      <x:c r="C22" s="56" t="str">
        <x:v>提升後勤準備</x:v>
      </x:c>
      <x:c r="D22" s="56" t="n">
        <x:v>1</x:v>
      </x:c>
      <x:c r="E22" s="56" t="n">
        <x:v>6</x:v>
      </x:c>
      <x:c r="F22" s="56" t="n">
        <x:v>0</x:v>
      </x:c>
      <x:c r="G22" s="56" t="n">
        <x:v>0</x:v>
      </x:c>
      <x:c r="H22" s="56" t="n">
        <x:v>0</x:v>
      </x:c>
      <x:c r="I22" s="56" t="str">
        <x:v>EDUCATIONAL_SYNTHETIC</x:v>
      </x:c>
      <x:c r="J22" s="56" t="str">
        <x:v>與 app.js ACTIONS 同步；數值為抽象教育裁決修正。</x:v>
      </x:c>
    </x:row>
    <x:row r="23">
      <x:c r="A23" s="60" t="str">
        <x:v>ACT-AMBER-03</x:v>
      </x:c>
      <x:c r="B23" s="60" t="str">
        <x:v>AMBER</x:v>
      </x:c>
      <x:c r="C23" s="60" t="str">
        <x:v>網路防護支援</x:v>
      </x:c>
      <x:c r="D23" s="60" t="n">
        <x:v>1</x:v>
      </x:c>
      <x:c r="E23" s="60" t="n">
        <x:v>0</x:v>
      </x:c>
      <x:c r="F23" s="60" t="n">
        <x:v>5</x:v>
      </x:c>
      <x:c r="G23" s="60" t="n">
        <x:v>1</x:v>
      </x:c>
      <x:c r="H23" s="60" t="n">
        <x:v>0</x:v>
      </x:c>
      <x:c r="I23" s="60" t="str">
        <x:v>EDUCATIONAL_SYNTHETIC</x:v>
      </x:c>
      <x:c r="J23" s="60" t="str">
        <x:v>與 app.js ACTIONS 同步；數值為抽象教育裁決修正。</x:v>
      </x:c>
    </x:row>
    <x:row r="24">
      <x:c r="A24" s="56" t="str">
        <x:v>ACT-AMBER-04</x:v>
      </x:c>
      <x:c r="B24" s="56" t="str">
        <x:v>AMBER</x:v>
      </x:c>
      <x:c r="C24" s="56" t="str">
        <x:v>外交協調</x:v>
      </x:c>
      <x:c r="D24" s="56" t="n">
        <x:v>0</x:v>
      </x:c>
      <x:c r="E24" s="56" t="n">
        <x:v>0</x:v>
      </x:c>
      <x:c r="F24" s="56" t="n">
        <x:v>2</x:v>
      </x:c>
      <x:c r="G24" s="56" t="n">
        <x:v>1</x:v>
      </x:c>
      <x:c r="H24" s="56" t="n">
        <x:v>-3</x:v>
      </x:c>
      <x:c r="I24" s="56" t="str">
        <x:v>EDUCATIONAL_SYNTHETIC</x:v>
      </x:c>
      <x:c r="J24" s="56" t="str">
        <x:v>與 app.js ACTIONS 同步；數值為抽象教育裁決修正。</x:v>
      </x:c>
    </x:row>
    <x:row r="25">
      <x:c r="A25" s="60" t="str">
        <x:v>ACT-AMBER-05</x:v>
      </x:c>
      <x:c r="B25" s="60" t="str">
        <x:v>AMBER</x:v>
      </x:c>
      <x:c r="C25" s="60" t="str">
        <x:v>遠距海上存在</x:v>
      </x:c>
      <x:c r="D25" s="60" t="n">
        <x:v>1</x:v>
      </x:c>
      <x:c r="E25" s="60" t="n">
        <x:v>0</x:v>
      </x:c>
      <x:c r="F25" s="60" t="n">
        <x:v>1</x:v>
      </x:c>
      <x:c r="G25" s="60" t="n">
        <x:v>2</x:v>
      </x:c>
      <x:c r="H25" s="60" t="n">
        <x:v>2</x:v>
      </x:c>
      <x:c r="I25" s="60" t="str">
        <x:v>EDUCATIONAL_SYNTHETIC</x:v>
      </x:c>
      <x:c r="J25" s="60" t="str">
        <x:v>與 app.js ACTIONS 同步；數值為抽象教育裁決修正。</x:v>
      </x:c>
    </x:row>
    <x:row r="26">
      <x:c r="A26" s="56" t="str">
        <x:v>ACT-AMBER-06</x:v>
      </x:c>
      <x:c r="B26" s="56" t="str">
        <x:v>AMBER</x:v>
      </x:c>
      <x:c r="C26" s="56" t="str">
        <x:v>人道支援準備</x:v>
      </x:c>
      <x:c r="D26" s="56" t="n">
        <x:v>0</x:v>
      </x:c>
      <x:c r="E26" s="56" t="n">
        <x:v>2</x:v>
      </x:c>
      <x:c r="F26" s="56" t="n">
        <x:v>0</x:v>
      </x:c>
      <x:c r="G26" s="56" t="n">
        <x:v>0</x:v>
      </x:c>
      <x:c r="H26" s="56" t="n">
        <x:v>-5</x:v>
      </x:c>
      <x:c r="I26" s="56" t="str">
        <x:v>EDUCATIONAL_SYNTHETIC</x:v>
      </x:c>
      <x:c r="J26" s="56" t="str">
        <x:v>與 app.js ACTIONS 同步；數值為抽象教育裁決修正。</x:v>
      </x:c>
    </x:row>
    <x:row r="27">
      <x:c r="A27" s="60" t="str">
        <x:v>ACT-AMBER-07</x:v>
      </x:c>
      <x:c r="B27" s="60" t="str">
        <x:v>AMBER</x:v>
      </x:c>
      <x:c r="C27" s="60" t="str">
        <x:v>提供衛星與高空通訊支援</x:v>
      </x:c>
      <x:c r="D27" s="60" t="n">
        <x:v>1</x:v>
      </x:c>
      <x:c r="E27" s="60" t="n">
        <x:v>1</x:v>
      </x:c>
      <x:c r="F27" s="60" t="n">
        <x:v>6</x:v>
      </x:c>
      <x:c r="G27" s="60" t="n">
        <x:v>3</x:v>
      </x:c>
      <x:c r="H27" s="60" t="n">
        <x:v>0</x:v>
      </x:c>
      <x:c r="I27" s="60" t="str">
        <x:v>EDUCATIONAL_SYNTHETIC</x:v>
      </x:c>
      <x:c r="J27" s="60" t="str">
        <x:v>與 app.js ACTIONS 同步；數值為抽象教育裁決修正。</x:v>
      </x:c>
    </x:row>
    <x:row r="28">
      <x:c r="A28" s="56" t="str">
        <x:v>ACT-AMBER-08</x:v>
      </x:c>
      <x:c r="B28" s="56" t="str">
        <x:v>AMBER</x:v>
      </x:c>
      <x:c r="C28" s="56" t="str">
        <x:v>多國商船護航協調</x:v>
      </x:c>
      <x:c r="D28" s="56" t="n">
        <x:v>1</x:v>
      </x:c>
      <x:c r="E28" s="56" t="n">
        <x:v>2</x:v>
      </x:c>
      <x:c r="F28" s="56" t="n">
        <x:v>3</x:v>
      </x:c>
      <x:c r="G28" s="56" t="n">
        <x:v>1</x:v>
      </x:c>
      <x:c r="H28" s="56" t="n">
        <x:v>-2</x:v>
      </x:c>
      <x:c r="I28" s="56" t="str">
        <x:v>EDUCATIONAL_SYNTHETIC</x:v>
      </x:c>
      <x:c r="J28" s="56" t="str">
        <x:v>與 app.js ACTIONS 同步；數值為抽象教育裁決修正。</x:v>
      </x:c>
    </x:row>
    <x:row r="29">
      <x:c r="A29" s="60" t="str">
        <x:v>ACT-AMBER-09</x:v>
      </x:c>
      <x:c r="B29" s="60" t="str">
        <x:v>AMBER</x:v>
      </x:c>
      <x:c r="C29" s="60" t="str">
        <x:v>工業補充與供應鏈動員</x:v>
      </x:c>
      <x:c r="D29" s="60" t="n">
        <x:v>0</x:v>
      </x:c>
      <x:c r="E29" s="60" t="n">
        <x:v>5</x:v>
      </x:c>
      <x:c r="F29" s="60" t="n">
        <x:v>1</x:v>
      </x:c>
      <x:c r="G29" s="60" t="n">
        <x:v>0</x:v>
      </x:c>
      <x:c r="H29" s="60" t="n">
        <x:v>-1</x:v>
      </x:c>
      <x:c r="I29" s="60" t="str">
        <x:v>EDUCATIONAL_SYNTHETIC</x:v>
      </x:c>
      <x:c r="J29" s="60" t="str">
        <x:v>與 app.js ACTIONS 同步；數值為抽象教育裁決修正。</x:v>
      </x:c>
    </x:row>
  </x:sheetData>
  <x:mergeCells>
    <x:mergeCell ref="A1:J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56" hidden="0" customWidth="1"/>
    <x:col min="5" max="5" width="48" hidden="0" customWidth="1"/>
    <x:col min="6" max="6" width="34" hidden="0" customWidth="1"/>
  </x:cols>
  <x:sheetData>
    <x:row r="1" ht="26" customHeight="1">
      <x:c r="A1" s="47" t="str">
        <x:v>LLM 供應商、模型與 Endpoint 預設值</x:v>
      </x:c>
      <x:c r="B1" s="47"/>
      <x:c r="C1" s="47"/>
      <x:c r="D1" s="47"/>
      <x:c r="E1" s="47"/>
      <x:c r="F1" s="47"/>
    </x:row>
    <x:row r="3" ht="30" customHeight="1">
      <x:c r="A3" s="52" t="str">
        <x:v>provider_id</x:v>
      </x:c>
      <x:c r="B3" s="52" t="str">
        <x:v>供應商</x:v>
      </x:c>
      <x:c r="C3" s="52" t="str">
        <x:v>預設模型</x:v>
      </x:c>
      <x:c r="D3" s="52" t="str">
        <x:v>API Endpoint</x:v>
      </x:c>
      <x:c r="E3" s="52" t="str">
        <x:v>模型清單JSON</x:v>
      </x:c>
      <x:c r="F3" s="52" t="str">
        <x:v>API Key 保存政策</x:v>
      </x:c>
    </x:row>
    <x:row r="4">
      <x:c r="A4" s="56" t="str">
        <x:v>gemini</x:v>
      </x:c>
      <x:c r="B4" s="56" t="str">
        <x:v>Gemini</x:v>
      </x:c>
      <x:c r="C4" s="56" t="str">
        <x:v>gemini-3.5-flash</x:v>
      </x:c>
      <x:c r="D4" s="56" t="str">
        <x:v>https://generativelanguage.googleapis.com/v1beta</x:v>
      </x:c>
      <x:c r="E4" s="56" t="str">
        <x:v>["gemini-3.5-flash","gemini-3.6-flash"]</x:v>
      </x:c>
      <x:c r="F4" s="56" t="str">
        <x:v>瀏覽器本機；資料庫不保存</x:v>
      </x:c>
    </x:row>
    <x:row r="5">
      <x:c r="A5" s="60" t="str">
        <x:v>openai</x:v>
      </x:c>
      <x:c r="B5" s="60" t="str">
        <x:v>OpenAI</x:v>
      </x:c>
      <x:c r="C5" s="60" t="str">
        <x:v>gpt-5.5</x:v>
      </x:c>
      <x:c r="D5" s="60" t="str">
        <x:v>https://api.openai.com/v1</x:v>
      </x:c>
      <x:c r="E5" s="60" t="str">
        <x:v>["gpt-5.4-mini","gpt-5.5","gpt-5.6"]</x:v>
      </x:c>
      <x:c r="F5" s="60" t="str">
        <x:v>瀏覽器本機；資料庫不保存</x:v>
      </x:c>
    </x:row>
    <x:row r="6">
      <x:c r="A6" s="56" t="str">
        <x:v>claude</x:v>
      </x:c>
      <x:c r="B6" s="56" t="str">
        <x:v>Claude</x:v>
      </x:c>
      <x:c r="C6" s="56" t="str">
        <x:v>claude-sonnet-4-20250514</x:v>
      </x:c>
      <x:c r="D6" s="56" t="str">
        <x:v>https://api.anthropic.com/v1</x:v>
      </x:c>
      <x:c r="E6" s="56" t="str">
        <x:v>["claude-sonnet-4-20250514"]</x:v>
      </x:c>
      <x:c r="F6" s="56" t="str">
        <x:v>瀏覽器本機；資料庫不保存</x:v>
      </x:c>
    </x:row>
    <x:row r="7">
      <x:c r="A7" s="60" t="str">
        <x:v>cgu</x:v>
      </x:c>
      <x:c r="B7" s="60" t="str">
        <x:v>長庚 CGU LLM API</x:v>
      </x:c>
      <x:c r="C7" s="60" t="str">
        <x:v>gpt-5.4-mini</x:v>
      </x:c>
      <x:c r="D7" s="60" t="str">
        <x:v>https://air.cgu.edu.tw/cgullmapi/v1</x:v>
      </x:c>
      <x:c r="E7" s="60" t="str">
        <x:v>["gpt-5.4-mini","gpt-5.5","gpt-5.6"]</x:v>
      </x:c>
      <x:c r="F7" s="60" t="str">
        <x:v>瀏覽器本機；資料庫不保存</x:v>
      </x:c>
    </x:row>
  </x:sheetData>
  <x:mergeCells>
    <x:mergeCell ref="A1:F1"/>
  </x:mergeCells>
  <x:pageMargins left="0.7" right="0.7" top="0.75" bottom="0.75" header="0.3" footer="0.3"/>
</x:worksheet>
</file>