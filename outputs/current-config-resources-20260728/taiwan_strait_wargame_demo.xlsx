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1bfe1d049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36ba2cc1133481e"/>
    <x:sheet xmlns:r="http://schemas.openxmlformats.org/officeDocument/2006/relationships" name="01_Public_Sources" sheetId="2" r:id="Rf3aff72c941c41dc"/>
    <x:sheet xmlns:r="http://schemas.openxmlformats.org/officeDocument/2006/relationships" name="02_Public_Activity" sheetId="3" r:id="R8a782c0b2a264d50"/>
    <x:sheet xmlns:r="http://schemas.openxmlformats.org/officeDocument/2006/relationships" name="03_Scenario" sheetId="4" r:id="R3c75efa8282c46eb"/>
    <x:sheet xmlns:r="http://schemas.openxmlformats.org/officeDocument/2006/relationships" name="04_Actors" sheetId="5" r:id="Rd31a2007c5a44d9b"/>
    <x:sheet xmlns:r="http://schemas.openxmlformats.org/officeDocument/2006/relationships" name="05_Zones" sheetId="6" r:id="Rc821483aa272468c"/>
    <x:sheet xmlns:r="http://schemas.openxmlformats.org/officeDocument/2006/relationships" name="06_Force_Packages" sheetId="7" r:id="R0c017f46c5b242de"/>
    <x:sheet xmlns:r="http://schemas.openxmlformats.org/officeDocument/2006/relationships" name="07_Capabilities" sheetId="8" r:id="R38323fd93c49435c"/>
    <x:sheet xmlns:r="http://schemas.openxmlformats.org/officeDocument/2006/relationships" name="08_Weather" sheetId="9" r:id="R060d40b9d6c44687"/>
    <x:sheet xmlns:r="http://schemas.openxmlformats.org/officeDocument/2006/relationships" name="09_Intelligence" sheetId="10" r:id="R963abe2351d74050"/>
    <x:sheet xmlns:r="http://schemas.openxmlformats.org/officeDocument/2006/relationships" name="10_Event_Cards" sheetId="11" r:id="R8c38524379674c62"/>
    <x:sheet xmlns:r="http://schemas.openxmlformats.org/officeDocument/2006/relationships" name="11_Orders" sheetId="12" r:id="R1e8bb25186e24bda"/>
    <x:sheet xmlns:r="http://schemas.openxmlformats.org/officeDocument/2006/relationships" name="12_Engagements" sheetId="13" r:id="R6b3f1b1630be4e0a"/>
    <x:sheet xmlns:r="http://schemas.openxmlformats.org/officeDocument/2006/relationships" name="13_Attrition" sheetId="14" r:id="Rc9de16ce964c46b1"/>
    <x:sheet xmlns:r="http://schemas.openxmlformats.org/officeDocument/2006/relationships" name="14_Intercept_Lab" sheetId="15" r:id="R73ec6ba9da364f26"/>
    <x:sheet xmlns:r="http://schemas.openxmlformats.org/officeDocument/2006/relationships" name="15_Data_Dictionary" sheetId="16" r:id="R173662d706c54b46"/>
    <x:sheet xmlns:r="http://schemas.openxmlformats.org/officeDocument/2006/relationships" name="16_Dashboard" sheetId="17" r:id="R920b9f39f39b436a"/>
    <x:sheet xmlns:r="http://schemas.openxmlformats.org/officeDocument/2006/relationships" name="17_Scenario_Templates" sheetId="18" r:id="Rbdcec513373a4e5b"/>
    <x:sheet xmlns:r="http://schemas.openxmlformats.org/officeDocument/2006/relationships" name="18_Settings" sheetId="19" r:id="Rbe34fff74ae94133"/>
    <x:sheet xmlns:r="http://schemas.openxmlformats.org/officeDocument/2006/relationships" name="19_Resources" sheetId="20" r:id="Ra8a0ad0d8ee54936"/>
    <x:sheet xmlns:r="http://schemas.openxmlformats.org/officeDocument/2006/relationships" name="20_Actions" sheetId="21" r:id="R58b59297c25848dd"/>
    <x:sheet xmlns:r="http://schemas.openxmlformats.org/officeDocument/2006/relationships" name="21_LLM_Providers" sheetId="22" r:id="Rfe0418309a0b4512"/>
    <x:sheet xmlns:r="http://schemas.openxmlformats.org/officeDocument/2006/relationships" name="22_Named_Resources" sheetId="23" r:id="R8d739b19d7024a65"/>
    <x:sheet xmlns:r="http://schemas.openxmlformats.org/officeDocument/2006/relationships" name="23_Model_Config" sheetId="24" r:id="Rab522c50d5a94b68"/>
    <x:sheet xmlns:r="http://schemas.openxmlformats.org/officeDocument/2006/relationships" name="24_Project_Files" sheetId="25" r:id="R8fb581d850294e71"/>
  </x:sheets>
</x:workbook>
</file>

<file path=xl/sharedStrings.xml><?xml version="1.0" encoding="utf-8"?>
<x:sst xmlns:x="http://schemas.openxmlformats.org/spreadsheetml/2006/main">
  <x:si>
    <x:t xml:space="preserve">國防部公開臺海周邊活動：少量結構化樣本</x:t>
  </x:si>
  <x:si>
    <x:t xml:space="preserve">report_date</x:t>
  </x:si>
  <x:si>
    <x:t xml:space="preserve">PLA_aircraft</x:t>
  </x:si>
  <x:si>
    <x:t xml:space="preserve">PLAN_ships</x:t>
  </x:si>
  <x:si>
    <x:t xml:space="preserve">official_ships</x:t>
  </x:si>
  <x:si>
    <x:t xml:space="preserve">aircraft_cross_or_enter</x:t>
  </x:si>
  <x:si>
    <x:t xml:space="preserve">摘要</x:t>
  </x:si>
  <x:si>
    <x:t xml:space="preserve">source_url</x:t>
  </x:si>
  <x:si>
    <x:t xml:space="preserve">2025-12-25</x:t>
  </x:si>
  <x:si>
    <x:t xml:space="preserve">2架越過海峽中線並進入西南ADIZ</x:t>
  </x:si>
  <x:si>
    <x:t xml:space="preserve">https://www.mnd.gov.tw/en/news/plaact/85577</x:t>
  </x:si>
  <x:si>
    <x:t xml:space="preserve">2026-04-07</x:t>
  </x:si>
  <x:si>
    <x:t xml:space="preserve">1架進入西南ADIZ</x:t>
  </x:si>
  <x:si>
    <x:t xml:space="preserve">https://www.mnd.gov.tw/en/news/plaact/86443</x:t>
  </x:si>
  <x:si>
    <x:t xml:space="preserve">2026-06-02</x:t>
  </x:si>
  <x:si>
    <x:t xml:space="preserve">7架進入西南ADIZ</x:t>
  </x:si>
  <x:si>
    <x:t xml:space="preserve">https://www.mnd.gov.tw/en/news/plaact/86767</x:t>
  </x:si>
  <x:si>
    <x:t xml:space="preserve">2026-07-07</x:t>
  </x:si>
  <x:si>
    <x:t xml:space="preserve">3架越過中線並進入西南ADIZ</x:t>
  </x:si>
  <x:si>
    <x:t xml:space="preserve">https://air.mnd.gov.tw/EN/News/News_Detail.aspx?CID=214&amp;ID=59068</x:t>
  </x:si>
  <x:si>
    <x:t xml:space="preserve">2026-07-15</x:t>
  </x:si>
  <x:si>
    <x:t xml:space="preserve">1架進入東部ADIZ</x:t>
  </x:si>
  <x:si>
    <x:t xml:space="preserve">https://air.mnd.gov.tw/EN/News/News_Detail.aspx?CID=214&amp;ID=59084</x:t>
  </x:si>
  <x:si>
    <x:t xml:space="preserve">九種內建合成情境主檔</x:t>
  </x:si>
  <x:si>
    <x:t xml:space="preserve">scenario_id</x:t>
  </x:si>
  <x:si>
    <x:t xml:space="preserve">scenario_name</x:t>
  </x:si>
  <x:si>
    <x:t xml:space="preserve">template_key</x:t>
  </x:si>
  <x:si>
    <x:t xml:space="preserve">difficulty</x:t>
  </x:si>
  <x:si>
    <x:t xml:space="preserve">turns</x:t>
  </x:si>
  <x:si>
    <x:t xml:space="preserve">hours_per_turn</x:t>
  </x:si>
  <x:si>
    <x:t xml:space="preserve">time_range</x:t>
  </x:si>
  <x:si>
    <x:t xml:space="preserve">focus</x:t>
  </x:si>
  <x:si>
    <x:t xml:space="preserve">amber_support</x:t>
  </x:si>
  <x:si>
    <x:t xml:space="preserve">weather_preset</x:t>
  </x:si>
  <x:si>
    <x:t xml:space="preserve">turn_order_mode</x:t>
  </x:si>
  <x:si>
    <x:t xml:space="preserve">data_class</x:t>
  </x:si>
  <x:si>
    <x:t xml:space="preserve">TS-TPL-001</x:t>
  </x:si>
  <x:si>
    <x:t xml:space="preserve">海峽警戒與有限封控：72小時聯合決策演練</x:t>
  </x:si>
  <x:si>
    <x:t xml:space="preserve">blockade</x:t>
  </x:si>
  <x:si>
    <x:t xml:space="preserve">standard</x:t>
  </x:si>
  <x:si>
    <x:t xml:space="preserve">T+0至T+72</x:t>
  </x:si>
  <x:si>
    <x:t xml:space="preserve">joint</x:t>
  </x:si>
  <x:si>
    <x:t xml:space="preserve">indirect</x:t>
  </x:si>
  <x:si>
    <x:t xml:space="preserve">variable</x:t>
  </x:si>
  <x:si>
    <x:t xml:space="preserve">simultaneous</x:t>
  </x:si>
  <x:si>
    <x:t xml:space="preserve">EDUCATIONAL_SYNTHETIC</x:t>
  </x:si>
  <x:si>
    <x:t xml:space="preserve">TS-TPL-002</x:t>
  </x:si>
  <x:si>
    <x:t xml:space="preserve">多軸空情與分層防護：48小時資源配置演練</x:t>
  </x:si>
  <x:si>
    <x:t xml:space="preserve">airdefense</x:t>
  </x:si>
  <x:si>
    <x:t xml:space="preserve">advanced</x:t>
  </x:si>
  <x:si>
    <x:t xml:space="preserve">T+0至T+48</x:t>
  </x:si>
  <x:si>
    <x:t xml:space="preserve">TS-TPL-003</x:t>
  </x:si>
  <x:si>
    <x:t xml:space="preserve">港口延誤與後勤韌性：96小時持續性演練</x:t>
  </x:si>
  <x:si>
    <x:t xml:space="preserve">logistics</x:t>
  </x:si>
  <x:si>
    <x:t xml:space="preserve">T+0至T+96</x:t>
  </x:si>
  <x:si>
    <x:t xml:space="preserve">limited</x:t>
  </x:si>
  <x:si>
    <x:t xml:space="preserve">adverse</x:t>
  </x:si>
  <x:si>
    <x:t xml:space="preserve">TS-TPL-004</x:t>
  </x:si>
  <x:si>
    <x:t xml:space="preserve">灰色地帶與資訊迷霧：跨域判讀演練</x:t>
  </x:si>
  <x:si>
    <x:t xml:space="preserve">grayzone</x:t>
  </x:si>
  <x:si>
    <x:t xml:space="preserve">T+0至T+60</x:t>
  </x:si>
  <x:si>
    <x:t xml:space="preserve">intelligence</x:t>
  </x:si>
  <x:si>
    <x:t xml:space="preserve">stable</x:t>
  </x:si>
  <x:si>
    <x:t xml:space="preserve">TS-TPL-005</x:t>
  </x:si>
  <x:si>
    <x:t xml:space="preserve">人道疏散與民事協調：危機韌性演練</x:t>
  </x:si>
  <x:si>
    <x:t xml:space="preserve">humanitarian</x:t>
  </x:si>
  <x:si>
    <x:t xml:space="preserve">civil</x:t>
  </x:si>
  <x:si>
    <x:t xml:space="preserve">TS-TPL-006</x:t>
  </x:si>
  <x:si>
    <x:t xml:space="preserve">危機降溫與外交窗口：升級控制演練</x:t>
  </x:si>
  <x:si>
    <x:t xml:space="preserve">deescalation</x:t>
  </x:si>
  <x:si>
    <x:t xml:space="preserve">diplomacy</x:t>
  </x:si>
  <x:si>
    <x:t xml:space="preserve">TS-TPL-007</x:t>
  </x:si>
  <x:si>
    <x:t xml:space="preserve">CSIS《燈火管制》（2025）：封鎖、護航與能源韌性</x:t>
  </x:si>
  <x:si>
    <x:t xml:space="preserve">csis_blackout_2025</x:t>
  </x:si>
  <x:si>
    <x:t xml:space="preserve">T+0至T+240</x:t>
  </x:si>
  <x:si>
    <x:t xml:space="preserve">red_first</x:t>
  </x:si>
  <x:si>
    <x:t xml:space="preserve">TS-TPL-008</x:t>
  </x:si>
  <x:si>
    <x:t xml:space="preserve">CSIS &amp; MIT（2024）：傳統戰局與核升級風險</x:t>
  </x:si>
  <x:si>
    <x:t xml:space="preserve">csis_mit_nuclear_2024</x:t>
  </x:si>
  <x:si>
    <x:t xml:space="preserve">TS-TPL-009</x:t>
  </x:si>
  <x:si>
    <x:t xml:space="preserve">美國國會 × CNAS：一週彈藥耗盡與全球經濟衝擊</x:t>
  </x:si>
  <x:si>
    <x:t xml:space="preserve">cnas_policy_war</x:t>
  </x:si>
  <x:si>
    <x:t xml:space="preserve">T+0至T+168</x:t>
  </x:si>
  <x:si>
    <x:t xml:space="preserve">角色與任務</x:t>
  </x:si>
  <x:si>
    <x:t xml:space="preserve">actor_id</x:t>
  </x:si>
  <x:si>
    <x:t xml:space="preserve">actor_name</x:t>
  </x:si>
  <x:si>
    <x:t xml:space="preserve">role</x:t>
  </x:si>
  <x:si>
    <x:t xml:space="preserve">primary_objective</x:t>
  </x:si>
  <x:si>
    <x:t xml:space="preserve">constraints</x:t>
  </x:si>
  <x:si>
    <x:t xml:space="preserve">class_assignment</x:t>
  </x:si>
  <x:si>
    <x:t xml:space="preserve">BLUE</x:t>
  </x:si>
  <x:si>
    <x:t xml:space="preserve">藍方（臺灣）</x:t>
  </x:si>
  <x:si>
    <x:t xml:space="preserve">防衛方</x:t>
  </x:si>
  <x:si>
    <x:t xml:space="preserve">維持關鍵海空通道、保護人口與指揮韌性</x:t>
  </x:si>
  <x:si>
    <x:t xml:space="preserve">避免升高衝突並保存持續作戰能力</x:t>
  </x:si>
  <x:si>
    <x:t xml:space="preserve">學生組</x:t>
  </x:si>
  <x:si>
    <x:t xml:space="preserve">RED</x:t>
  </x:si>
  <x:si>
    <x:t xml:space="preserve">紅方（中國大陸）</x:t>
  </x:si>
  <x:si>
    <x:t xml:space="preserve">施壓方</x:t>
  </x:si>
  <x:si>
    <x:t xml:space="preserve">建立有限封控效果並迫使對方改變政策</x:t>
  </x:si>
  <x:si>
    <x:t xml:space="preserve">控制升級、維持行動節奏與資訊優勢</x:t>
  </x:si>
  <x:si>
    <x:t xml:space="preserve">AMBER</x:t>
  </x:si>
  <x:si>
    <x:t xml:space="preserve">琥珀方（美軍支援）</x:t>
  </x:si>
  <x:si>
    <x:t xml:space="preserve">外部支援方</x:t>
  </x:si>
  <x:si>
    <x:t xml:space="preserve">提供情監偵、後勤、外交與有限度防護支援</x:t>
  </x:si>
  <x:si>
    <x:t xml:space="preserve">避免直接擴大為全面衝突</x:t>
  </x:si>
  <x:si>
    <x:t xml:space="preserve">學生或教師組</x:t>
  </x:si>
  <x:si>
    <x:t xml:space="preserve">WHITE</x:t>
  </x:si>
  <x:si>
    <x:t xml:space="preserve">白方（導調/民事）</x:t>
  </x:si>
  <x:si>
    <x:t xml:space="preserve">裁判與中立方</x:t>
  </x:si>
  <x:si>
    <x:t xml:space="preserve">控制事件、民事影響、法律與外交反應</x:t>
  </x:si>
  <x:si>
    <x:t xml:space="preserve">維持教學公平並記錄裁決依據</x:t>
  </x:si>
  <x:si>
    <x:t xml:space="preserve">教師/助教</x:t>
  </x:si>
  <x:si>
    <x:t xml:space="preserve">抽象作戰區域（無精確座標）</x:t>
  </x:si>
  <x:si>
    <x:t xml:space="preserve">zone_id</x:t>
  </x:si>
  <x:si>
    <x:t xml:space="preserve">zone_name</x:t>
  </x:si>
  <x:si>
    <x:t xml:space="preserve">domain</x:t>
  </x:si>
  <x:si>
    <x:t xml:space="preserve">distance_band</x:t>
  </x:si>
  <x:si>
    <x:t xml:space="preserve">activity_pressure</x:t>
  </x:si>
  <x:si>
    <x:t xml:space="preserve">civilian_density</x:t>
  </x:si>
  <x:si>
    <x:t xml:space="preserve">maneuver_space</x:t>
  </x:si>
  <x:si>
    <x:t xml:space="preserve">teaching_note</x:t>
  </x:si>
  <x:si>
    <x:t xml:space="preserve">Z-NW</x:t>
  </x:si>
  <x:si>
    <x:t xml:space="preserve">北部海峽區</x:t>
  </x:si>
  <x:si>
    <x:t xml:space="preserve">海域</x:t>
  </x:si>
  <x:si>
    <x:t xml:space="preserve">近岸/海峽</x:t>
  </x:si>
  <x:si>
    <x:t xml:space="preserve">中</x:t>
  </x:si>
  <x:si>
    <x:t xml:space="preserve">高</x:t>
  </x:si>
  <x:si>
    <x:t xml:space="preserve">重要商船與空運通道；不含精確座標</x:t>
  </x:si>
  <x:si>
    <x:t xml:space="preserve">Z-CW</x:t>
  </x:si>
  <x:si>
    <x:t xml:space="preserve">中部海峽區</x:t>
  </x:si>
  <x:si>
    <x:t xml:space="preserve">海峽中央</x:t>
  </x:si>
  <x:si>
    <x:t xml:space="preserve">主要活動與識別壓力區</x:t>
  </x:si>
  <x:si>
    <x:t xml:space="preserve">Z-SW</x:t>
  </x:si>
  <x:si>
    <x:t xml:space="preserve">南部海峽區</x:t>
  </x:si>
  <x:si>
    <x:t xml:space="preserve">近岸/外海</x:t>
  </x:si>
  <x:si>
    <x:t xml:space="preserve">海空交通與海象變化較大</x:t>
  </x:si>
  <x:si>
    <x:t xml:space="preserve">Z-NE</x:t>
  </x:si>
  <x:si>
    <x:t xml:space="preserve">東北外海區</x:t>
  </x:si>
  <x:si>
    <x:t xml:space="preserve">外海</x:t>
  </x:si>
  <x:si>
    <x:t xml:space="preserve">低</x:t>
  </x:si>
  <x:si>
    <x:t xml:space="preserve">外部支援與商船繞行可能區</x:t>
  </x:si>
  <x:si>
    <x:t xml:space="preserve">Z-E</x:t>
  </x:si>
  <x:si>
    <x:t xml:space="preserve">東部外海區</x:t>
  </x:si>
  <x:si>
    <x:t xml:space="preserve">深水外海與長距離支援區</x:t>
  </x:si>
  <x:si>
    <x:t xml:space="preserve">Z-SE</x:t>
  </x:si>
  <x:si>
    <x:t xml:space="preserve">東南外海區</x:t>
  </x:si>
  <x:si>
    <x:t xml:space="preserve">南向補給與疏散路線</x:t>
  </x:si>
  <x:si>
    <x:t xml:space="preserve">Z-ISL</x:t>
  </x:si>
  <x:si>
    <x:t xml:space="preserve">本島整體區</x:t>
  </x:si>
  <x:si>
    <x:t xml:space="preserve">陸域</x:t>
  </x:si>
  <x:si>
    <x:t xml:space="preserve">城鎮/山地</x:t>
  </x:si>
  <x:si>
    <x:t xml:space="preserve">民事韌性、指揮、後勤與修復；不列精確設施</x:t>
  </x:si>
  <x:si>
    <x:t xml:space="preserve">Z-REAR</x:t>
  </x:si>
  <x:si>
    <x:t xml:space="preserve">遠端支援區</x:t>
  </x:si>
  <x:si>
    <x:t xml:space="preserve">遠端</x:t>
  </x:si>
  <x:si>
    <x:t xml:space="preserve">區域外</x:t>
  </x:si>
  <x:si>
    <x:t xml:space="preserve">琥珀方遠端情監偵、後勤與外交支援</x:t>
  </x:si>
  <x:si>
    <x:t xml:space="preserve">合成兵力包與初始狀態</x:t>
  </x:si>
  <x:si>
    <x:t xml:space="preserve">package_id</x:t>
  </x:si>
  <x:si>
    <x:t xml:space="preserve">package_name</x:t>
  </x:si>
  <x:si>
    <x:t xml:space="preserve">start_zone</x:t>
  </x:si>
  <x:si>
    <x:t xml:space="preserve">readiness</x:t>
  </x:si>
  <x:si>
    <x:t xml:space="preserve">combat_effect</x:t>
  </x:si>
  <x:si>
    <x:t xml:space="preserve">survivability</x:t>
  </x:si>
  <x:si>
    <x:t xml:space="preserve">sustainment</x:t>
  </x:si>
  <x:si>
    <x:t xml:space="preserve">command_quality</x:t>
  </x:si>
  <x:si>
    <x:t xml:space="preserve">priority</x:t>
  </x:si>
  <x:si>
    <x:t xml:space="preserve">data_type</x:t>
  </x:si>
  <x:si>
    <x:t xml:space="preserve">B-C2-01</x:t>
  </x:si>
  <x:si>
    <x:t xml:space="preserve">聯合指揮韌性群</x:t>
  </x:si>
  <x:si>
    <x:t xml:space="preserve">C2</x:t>
  </x:si>
  <x:si>
    <x:t xml:space="preserve">合成</x:t>
  </x:si>
  <x:si>
    <x:t xml:space="preserve">B-AD-01</x:t>
  </x:si>
  <x:si>
    <x:t xml:space="preserve">區域防空群A</x:t>
  </x:si>
  <x:si>
    <x:t xml:space="preserve">防空</x:t>
  </x:si>
  <x:si>
    <x:t xml:space="preserve">B-AD-02</x:t>
  </x:si>
  <x:si>
    <x:t xml:space="preserve">區域防空群B</x:t>
  </x:si>
  <x:si>
    <x:t xml:space="preserve">B-AIR-01</x:t>
  </x:si>
  <x:si>
    <x:t xml:space="preserve">空中巡防群</x:t>
  </x:si>
  <x:si>
    <x:t xml:space="preserve">航空</x:t>
  </x:si>
  <x:si>
    <x:t xml:space="preserve">B-NAV-01</x:t>
  </x:si>
  <x:si>
    <x:t xml:space="preserve">近海巡防群</x:t>
  </x:si>
  <x:si>
    <x:t xml:space="preserve">海軍</x:t>
  </x:si>
  <x:si>
    <x:t xml:space="preserve">B-NAV-02</x:t>
  </x:si>
  <x:si>
    <x:t xml:space="preserve">南部海上巡防群</x:t>
  </x:si>
  <x:si>
    <x:t xml:space="preserve">B-LOG-01</x:t>
  </x:si>
  <x:si>
    <x:t xml:space="preserve">聯合後勤群</x:t>
  </x:si>
  <x:si>
    <x:t xml:space="preserve">後勤</x:t>
  </x:si>
  <x:si>
    <x:t xml:space="preserve">B-CIV-01</x:t>
  </x:si>
  <x:si>
    <x:t xml:space="preserve">民事韌性協調群</x:t>
  </x:si>
  <x:si>
    <x:t xml:space="preserve">民事</x:t>
  </x:si>
  <x:si>
    <x:t xml:space="preserve">R-C2-01</x:t>
  </x:si>
  <x:si>
    <x:t xml:space="preserve">聯合任務指揮群</x:t>
  </x:si>
  <x:si>
    <x:t xml:space="preserve">R-AIR-01</x:t>
  </x:si>
  <x:si>
    <x:t xml:space="preserve">空中施壓群A</x:t>
  </x:si>
  <x:si>
    <x:t xml:space="preserve">R-AIR-02</x:t>
  </x:si>
  <x:si>
    <x:t xml:space="preserve">空中施壓群B</x:t>
  </x:si>
  <x:si>
    <x:t xml:space="preserve">R-NAV-01</x:t>
  </x:si>
  <x:si>
    <x:t xml:space="preserve">海上封控群A</x:t>
  </x:si>
  <x:si>
    <x:t xml:space="preserve">R-NAV-02</x:t>
  </x:si>
  <x:si>
    <x:t xml:space="preserve">海上封控群B</x:t>
  </x:si>
  <x:si>
    <x:t xml:space="preserve">R-STR-01</x:t>
  </x:si>
  <x:si>
    <x:t xml:space="preserve">遠程打擊示範群</x:t>
  </x:si>
  <x:si>
    <x:t xml:space="preserve">遠程火力</x:t>
  </x:si>
  <x:si>
    <x:t xml:space="preserve">R-EW-01</x:t>
  </x:si>
  <x:si>
    <x:t xml:space="preserve">電磁與資訊支援群</x:t>
  </x:si>
  <x:si>
    <x:t xml:space="preserve">電子戰</x:t>
  </x:si>
  <x:si>
    <x:t xml:space="preserve">A-ISR-01</x:t>
  </x:si>
  <x:si>
    <x:t xml:space="preserve">遠端情監偵支援群</x:t>
  </x:si>
  <x:si>
    <x:t xml:space="preserve">ISR</x:t>
  </x:si>
  <x:si>
    <x:t xml:space="preserve">A-LOG-01</x:t>
  </x:si>
  <x:si>
    <x:t xml:space="preserve">區域後勤支援群</x:t>
  </x:si>
  <x:si>
    <x:t xml:space="preserve">A-NAV-01</x:t>
  </x:si>
  <x:si>
    <x:t xml:space="preserve">遠距海上存在群</x:t>
  </x:si>
  <x:si>
    <x:t xml:space="preserve">A-CYB-01</x:t>
  </x:si>
  <x:si>
    <x:t xml:space="preserve">網路防護顧問群</x:t>
  </x:si>
  <x:si>
    <x:t xml:space="preserve">網路</x:t>
  </x:si>
  <x:si>
    <x:t xml:space="preserve">W-CIV-01</x:t>
  </x:si>
  <x:si>
    <x:t xml:space="preserve">商船與人道協調群</x:t>
  </x:si>
  <x:si>
    <x:t xml:space="preserve">B-UAS-01</x:t>
  </x:si>
  <x:si>
    <x:t xml:space="preserve">無人機偵察與通訊中繼群</x:t>
  </x:si>
  <x:si>
    <x:t xml:space="preserve">無人系統</x:t>
  </x:si>
  <x:si>
    <x:t xml:space="preserve">B-COM-01</x:t>
  </x:si>
  <x:si>
    <x:t xml:space="preserve">韌性衛星通訊節點群</x:t>
  </x:si>
  <x:si>
    <x:t xml:space="preserve">衛星通訊</x:t>
  </x:si>
  <x:si>
    <x:t xml:space="preserve">A-HAP-01</x:t>
  </x:si>
  <x:si>
    <x:t xml:space="preserve">衛星與高空通訊支援群</x:t>
  </x:si>
  <x:si>
    <x:t xml:space="preserve">高空通訊</x:t>
  </x:si>
  <x:si>
    <x:t xml:space="preserve">合成能力與平台類型目錄</x:t>
  </x:si>
  <x:si>
    <x:t xml:space="preserve">capability_id</x:t>
  </x:si>
  <x:si>
    <x:t xml:space="preserve">capability_name</x:t>
  </x:si>
  <x:si>
    <x:t xml:space="preserve">sensor_index</x:t>
  </x:si>
  <x:si>
    <x:t xml:space="preserve">reach_index</x:t>
  </x:si>
  <x:si>
    <x:t xml:space="preserve">mobility_index</x:t>
  </x:si>
  <x:si>
    <x:t xml:space="preserve">survivability_index</x:t>
  </x:si>
  <x:si>
    <x:t xml:space="preserve">sustainment_index</x:t>
  </x:si>
  <x:si>
    <x:t xml:space="preserve">cost_index</x:t>
  </x:si>
  <x:si>
    <x:t xml:space="preserve">note</x:t>
  </x:si>
  <x:si>
    <x:t xml:space="preserve">CAP-001</x:t>
  </x:si>
  <x:si>
    <x:t xml:space="preserve">區域防空系統A</x:t>
  </x:si>
  <x:si>
    <x:t xml:space="preserve">目標偵測與區域防護</x:t>
  </x:si>
  <x:si>
    <x:t xml:space="preserve">能力指數1-5；非真實系統</x:t>
  </x:si>
  <x:si>
    <x:t xml:space="preserve">CAP-002</x:t>
  </x:si>
  <x:si>
    <x:t xml:space="preserve">近程防護系統B</x:t>
  </x:si>
  <x:si>
    <x:t xml:space="preserve">末端與點防禦</x:t>
  </x:si>
  <x:si>
    <x:t xml:space="preserve">CAP-003</x:t>
  </x:si>
  <x:si>
    <x:t xml:space="preserve">機動雷達C</x:t>
  </x:si>
  <x:si>
    <x:t xml:space="preserve">感測</x:t>
  </x:si>
  <x:si>
    <x:t xml:space="preserve">預警與追蹤</x:t>
  </x:si>
  <x:si>
    <x:t xml:space="preserve">CAP-004</x:t>
  </x:si>
  <x:si>
    <x:t xml:space="preserve">多用途航空群D</x:t>
  </x:si>
  <x:si>
    <x:t xml:space="preserve">巡防、識別與攔截</x:t>
  </x:si>
  <x:si>
    <x:t xml:space="preserve">CAP-005</x:t>
  </x:si>
  <x:si>
    <x:t xml:space="preserve">近海巡防平台E</x:t>
  </x:si>
  <x:si>
    <x:t xml:space="preserve">海域監控與護航</x:t>
  </x:si>
  <x:si>
    <x:t xml:space="preserve">CAP-006</x:t>
  </x:si>
  <x:si>
    <x:t xml:space="preserve">分散式指揮節點F</x:t>
  </x:si>
  <x:si>
    <x:t xml:space="preserve">指揮韌性與備援</x:t>
  </x:si>
  <x:si>
    <x:t xml:space="preserve">CAP-007</x:t>
  </x:si>
  <x:si>
    <x:t xml:space="preserve">空中施壓平台G</x:t>
  </x:si>
  <x:si>
    <x:t xml:space="preserve">巡邏、護航與施壓</x:t>
  </x:si>
  <x:si>
    <x:t xml:space="preserve">CAP-008</x:t>
  </x:si>
  <x:si>
    <x:t xml:space="preserve">遠程打擊系統H</x:t>
  </x:si>
  <x:si>
    <x:t xml:space="preserve">遠距精準打擊演示</x:t>
  </x:si>
  <x:si>
    <x:t xml:space="preserve">不含實際射程、彈頭與部署數量</x:t>
  </x:si>
  <x:si>
    <x:t xml:space="preserve">CAP-009</x:t>
  </x:si>
  <x:si>
    <x:t xml:space="preserve">海上封控平台I</x:t>
  </x:si>
  <x:si>
    <x:t xml:space="preserve">警戒、封控與護航</x:t>
  </x:si>
  <x:si>
    <x:t xml:space="preserve">CAP-010</x:t>
  </x:si>
  <x:si>
    <x:t xml:space="preserve">電磁支援系統J</x:t>
  </x:si>
  <x:si>
    <x:t xml:space="preserve">干擾、欺敵與支援</x:t>
  </x:si>
  <x:si>
    <x:t xml:space="preserve">CAP-011</x:t>
  </x:si>
  <x:si>
    <x:t xml:space="preserve">遠端ISR平台K</x:t>
  </x:si>
  <x:si>
    <x:t xml:space="preserve">廣域監視與情報融合</x:t>
  </x:si>
  <x:si>
    <x:t xml:space="preserve">不含平台型號、軌道或站位</x:t>
  </x:si>
  <x:si>
    <x:t xml:space="preserve">CAP-012</x:t>
  </x:si>
  <x:si>
    <x:t xml:space="preserve">遠距海上平台L</x:t>
  </x:si>
  <x:si>
    <x:t xml:space="preserve">區域存在與護航支援</x:t>
  </x:si>
  <x:si>
    <x:t xml:space="preserve">CAP-013</x:t>
  </x:si>
  <x:si>
    <x:t xml:space="preserve">區域後勤平台M</x:t>
  </x:si>
  <x:si>
    <x:t xml:space="preserve">補給、維修與運輸</x:t>
  </x:si>
  <x:si>
    <x:t xml:space="preserve">CAP-014</x:t>
  </x:si>
  <x:si>
    <x:t xml:space="preserve">網路防護系統N</x:t>
  </x:si>
  <x:si>
    <x:t xml:space="preserve">防護、備援與事件處理</x:t>
  </x:si>
  <x:si>
    <x:t xml:space="preserve">CAP-015</x:t>
  </x:si>
  <x:si>
    <x:t xml:space="preserve">商船交通模型O</x:t>
  </x:si>
  <x:si>
    <x:t xml:space="preserve">流量、延誤與風險</x:t>
  </x:si>
  <x:si>
    <x:t xml:space="preserve">教學用民事模型</x:t>
  </x:si>
  <x:si>
    <x:t xml:space="preserve">CAP-016</x:t>
  </x:si>
  <x:si>
    <x:t xml:space="preserve">無人機任務系統P</x:t>
  </x:si>
  <x:si>
    <x:t xml:space="preserve">偵察、通訊中繼與資訊支援</x:t>
  </x:si>
  <x:si>
    <x:t xml:space="preserve">能力指數1-5；不對應真實型號、數量或性能</x:t>
  </x:si>
  <x:si>
    <x:t xml:space="preserve">CAP-017</x:t>
  </x:si>
  <x:si>
    <x:t xml:space="preserve">星鏈備援通訊系統Q</x:t>
  </x:si>
  <x:si>
    <x:t xml:space="preserve">分散式備援通訊與指揮韌性</x:t>
  </x:si>
  <x:si>
    <x:t xml:space="preserve">合成節點模型；不含軌道、站位或真實容量</x:t>
  </x:si>
  <x:si>
    <x:t xml:space="preserve">CAP-018</x:t>
  </x:si>
  <x:si>
    <x:t xml:space="preserve">高空通訊平臺R</x:t>
  </x:si>
  <x:si>
    <x:t xml:space="preserve">廣域通訊中繼與備援連接</x:t>
  </x:si>
  <x:si>
    <x:t xml:space="preserve">合成平臺模型；不含真實型號、站位或性能</x:t>
  </x:si>
  <x:si>
    <x:t xml:space="preserve">合成海象與能見度資料</x:t>
  </x:si>
  <x:si>
    <x:t xml:space="preserve">turn</x:t>
  </x:si>
  <x:si>
    <x:t xml:space="preserve">hour_from_start</x:t>
  </x:si>
  <x:si>
    <x:t xml:space="preserve">sea_state_1_5</x:t>
  </x:si>
  <x:si>
    <x:t xml:space="preserve">visibility_1_5</x:t>
  </x:si>
  <x:si>
    <x:t xml:space="preserve">wind_kts</x:t>
  </x:si>
  <x:si>
    <x:t xml:space="preserve">precip_probability_pct</x:t>
  </x:si>
  <x:si>
    <x:t xml:space="preserve">scenario_note</x:t>
  </x:si>
  <x:si>
    <x:t xml:space="preserve">一般變化</x:t>
  </x:si>
  <x:si>
    <x:t xml:space="preserve">SYNTHETIC</x:t>
  </x:si>
  <x:si>
    <x:t xml:space="preserve">合成海象惡化帶</x:t>
  </x:si>
  <x:si>
    <x:t xml:space="preserve">合成情報報告與真實狀態（供AAR）</x:t>
  </x:si>
  <x:si>
    <x:t xml:space="preserve">report_id</x:t>
  </x:si>
  <x:si>
    <x:t xml:space="preserve">recipient_actor</x:t>
  </x:si>
  <x:si>
    <x:t xml:space="preserve">report_type</x:t>
  </x:si>
  <x:si>
    <x:t xml:space="preserve">report_text</x:t>
  </x:si>
  <x:si>
    <x:t xml:space="preserve">source_reliability</x:t>
  </x:si>
  <x:si>
    <x:t xml:space="preserve">confidence_pct</x:t>
  </x:si>
  <x:si>
    <x:t xml:space="preserve">assessed_level</x:t>
  </x:si>
  <x:si>
    <x:t xml:space="preserve">teacher_truth_level</x:t>
  </x:si>
  <x:si>
    <x:t xml:space="preserve">visibility</x:t>
  </x:si>
  <x:si>
    <x:t xml:space="preserve">INT-001</x:t>
  </x:si>
  <x:si>
    <x:t xml:space="preserve">後勤跡象</x:t>
  </x:si>
  <x:si>
    <x:t xml:space="preserve">觀測到後勤跡象強度約為等級1，可能在下一回合改變。</x:t>
  </x:si>
  <x:si>
    <x:t xml:space="preserve">C</x:t>
  </x:si>
  <x:si>
    <x:t xml:space="preserve">學生可見</x:t>
  </x:si>
  <x:si>
    <x:t xml:space="preserve">合成情報；真實狀態僅供課後檢討</x:t>
  </x:si>
  <x:si>
    <x:t xml:space="preserve">INT-002</x:t>
  </x:si>
  <x:si>
    <x:t xml:space="preserve">電磁活動</x:t>
  </x:si>
  <x:si>
    <x:t xml:space="preserve">觀測到電磁活動強度約為等級5，可能在下一回合改變。</x:t>
  </x:si>
  <x:si>
    <x:t xml:space="preserve">INT-003</x:t>
  </x:si>
  <x:si>
    <x:t xml:space="preserve">觀測到後勤跡象強度約為等級5，可能在下一回合改變。</x:t>
  </x:si>
  <x:si>
    <x:t xml:space="preserve">INT-004</x:t>
  </x:si>
  <x:si>
    <x:t xml:space="preserve">D</x:t>
  </x:si>
  <x:si>
    <x:t xml:space="preserve">教師/白方可見</x:t>
  </x:si>
  <x:si>
    <x:t xml:space="preserve">INT-005</x:t>
  </x:si>
  <x:si>
    <x:t xml:space="preserve">觀測到後勤跡象強度約為等級2，可能在下一回合改變。</x:t>
  </x:si>
  <x:si>
    <x:t xml:space="preserve">A</x:t>
  </x:si>
  <x:si>
    <x:t xml:space="preserve">INT-006</x:t>
  </x:si>
  <x:si>
    <x:t xml:space="preserve">外交訊號</x:t>
  </x:si>
  <x:si>
    <x:t xml:space="preserve">觀測到外交訊號強度約為等級5，可能在下一回合改變。</x:t>
  </x:si>
  <x:si>
    <x:t xml:space="preserve">INT-007</x:t>
  </x:si>
  <x:si>
    <x:t xml:space="preserve">商船通報</x:t>
  </x:si>
  <x:si>
    <x:t xml:space="preserve">觀測到商船通報強度約為等級4，可能在下一回合改變。</x:t>
  </x:si>
  <x:si>
    <x:t xml:space="preserve">B</x:t>
  </x:si>
  <x:si>
    <x:t xml:space="preserve">INT-008</x:t>
  </x:si>
  <x:si>
    <x:t xml:space="preserve">觀測到商船通報強度約為等級1，可能在下一回合改變。</x:t>
  </x:si>
  <x:si>
    <x:t xml:space="preserve">INT-009</x:t>
  </x:si>
  <x:si>
    <x:t xml:space="preserve">INT-010</x:t>
  </x:si>
  <x:si>
    <x:t xml:space="preserve">INT-011</x:t>
  </x:si>
  <x:si>
    <x:t xml:space="preserve">INT-012</x:t>
  </x:si>
  <x:si>
    <x:t xml:space="preserve">空中活動</x:t>
  </x:si>
  <x:si>
    <x:t xml:space="preserve">觀測到空中活動強度約為等級3，可能在下一回合改變。</x:t>
  </x:si>
  <x:si>
    <x:t xml:space="preserve">INT-013</x:t>
  </x:si>
  <x:si>
    <x:t xml:space="preserve">觀測到外交訊號強度約為等級4，可能在下一回合改變。</x:t>
  </x:si>
  <x:si>
    <x:t xml:space="preserve">INT-014</x:t>
  </x:si>
  <x:si>
    <x:t xml:space="preserve">INT-015</x:t>
  </x:si>
  <x:si>
    <x:t xml:space="preserve">觀測到電磁活動強度約為等級3，可能在下一回合改變。</x:t>
  </x:si>
  <x:si>
    <x:t xml:space="preserve">INT-016</x:t>
  </x:si>
  <x:si>
    <x:t xml:space="preserve">海上活動</x:t>
  </x:si>
  <x:si>
    <x:t xml:space="preserve">觀測到海上活動強度約為等級1，可能在下一回合改變。</x:t>
  </x:si>
  <x:si>
    <x:t xml:space="preserve">INT-017</x:t>
  </x:si>
  <x:si>
    <x:t xml:space="preserve">觀測到商船通報強度約為等級5，可能在下一回合改變。</x:t>
  </x:si>
  <x:si>
    <x:t xml:space="preserve">INT-018</x:t>
  </x:si>
  <x:si>
    <x:t xml:space="preserve">INT-019</x:t>
  </x:si>
  <x:si>
    <x:t xml:space="preserve">觀測到海上活動強度約為等級4，可能在下一回合改變。</x:t>
  </x:si>
  <x:si>
    <x:t xml:space="preserve">INT-020</x:t>
  </x:si>
  <x:si>
    <x:t xml:space="preserve">觀測到空中活動強度約為等級5，可能在下一回合改變。</x:t>
  </x:si>
  <x:si>
    <x:t xml:space="preserve">INT-021</x:t>
  </x:si>
  <x:si>
    <x:t xml:space="preserve">觀測到空中活動強度約為等級4，可能在下一回合改變。</x:t>
  </x:si>
  <x:si>
    <x:t xml:space="preserve">INT-022</x:t>
  </x:si>
  <x:si>
    <x:t xml:space="preserve">INT-023</x:t>
  </x:si>
  <x:si>
    <x:t xml:space="preserve">INT-024</x:t>
  </x:si>
  <x:si>
    <x:t xml:space="preserve">觀測到商船通報強度約為等級3，可能在下一回合改變。</x:t>
  </x:si>
  <x:si>
    <x:t xml:space="preserve">INT-025</x:t>
  </x:si>
  <x:si>
    <x:t xml:space="preserve">INT-026</x:t>
  </x:si>
  <x:si>
    <x:t xml:space="preserve">INT-027</x:t>
  </x:si>
  <x:si>
    <x:t xml:space="preserve">觀測到空中活動強度約為等級2，可能在下一回合改變。</x:t>
  </x:si>
  <x:si>
    <x:t xml:space="preserve">INT-028</x:t>
  </x:si>
  <x:si>
    <x:t xml:space="preserve">INT-029</x:t>
  </x:si>
  <x:si>
    <x:t xml:space="preserve">觀測到後勤跡象強度約為等級4，可能在下一回合改變。</x:t>
  </x:si>
  <x:si>
    <x:t xml:space="preserve">INT-030</x:t>
  </x:si>
  <x:si>
    <x:t xml:space="preserve">情境事件卡</x:t>
  </x:si>
  <x:si>
    <x:t xml:space="preserve">event_id</x:t>
  </x:si>
  <x:si>
    <x:t xml:space="preserve">trigger_turn</x:t>
  </x:si>
  <x:si>
    <x:t xml:space="preserve">event_name</x:t>
  </x:si>
  <x:si>
    <x:t xml:space="preserve">category</x:t>
  </x:si>
  <x:si>
    <x:t xml:space="preserve">affected_actor</x:t>
  </x:si>
  <x:si>
    <x:t xml:space="preserve">description</x:t>
  </x:si>
  <x:si>
    <x:t xml:space="preserve">readiness_delta</x:t>
  </x:si>
  <x:si>
    <x:t xml:space="preserve">mobility_delta</x:t>
  </x:si>
  <x:si>
    <x:t xml:space="preserve">sustainment_delta</x:t>
  </x:si>
  <x:si>
    <x:t xml:space="preserve">command_delta</x:t>
  </x:si>
  <x:si>
    <x:t xml:space="preserve">civilian_risk_delta</x:t>
  </x:si>
  <x:si>
    <x:t xml:space="preserve">trigger_type</x:t>
  </x:si>
  <x:si>
    <x:t xml:space="preserve">EVT-001</x:t>
  </x:si>
  <x:si>
    <x:t xml:space="preserve">商船流量驟增</x:t>
  </x:si>
  <x:si>
    <x:t xml:space="preserve">提高識別與航行協調負荷</x:t>
  </x:si>
  <x:si>
    <x:t xml:space="preserve">固定</x:t>
  </x:si>
  <x:si>
    <x:t xml:space="preserve">EVT-002</x:t>
  </x:si>
  <x:si>
    <x:t xml:space="preserve">社群假訊息擴散</x:t>
  </x:si>
  <x:si>
    <x:t xml:space="preserve">資訊</x:t>
  </x:si>
  <x:si>
    <x:t xml:space="preserve">民眾焦慮與決策壓力上升</x:t>
  </x:si>
  <x:si>
    <x:t xml:space="preserve">條件</x:t>
  </x:si>
  <x:si>
    <x:t xml:space="preserve">EVT-003</x:t>
  </x:si>
  <x:si>
    <x:t xml:space="preserve">電磁干擾增強</x:t>
  </x:si>
  <x:si>
    <x:t xml:space="preserve">感測與通信品質下降</x:t>
  </x:si>
  <x:si>
    <x:t xml:space="preserve">EVT-004</x:t>
  </x:si>
  <x:si>
    <x:t xml:space="preserve">海象快速惡化</x:t>
  </x:si>
  <x:si>
    <x:t xml:space="preserve">氣象</x:t>
  </x:si>
  <x:si>
    <x:t xml:space="preserve">ALL</x:t>
  </x:si>
  <x:si>
    <x:t xml:space="preserve">航空與海上任務成功率下降</x:t>
  </x:si>
  <x:si>
    <x:t xml:space="preserve">EVT-005</x:t>
  </x:si>
  <x:si>
    <x:t xml:space="preserve">關鍵零附件延誤</x:t>
  </x:si>
  <x:si>
    <x:t xml:space="preserve">修復速度降低</x:t>
  </x:si>
  <x:si>
    <x:t xml:space="preserve">EVT-006</x:t>
  </x:si>
  <x:si>
    <x:t xml:space="preserve">盟友情報共享提升</x:t>
  </x:si>
  <x:si>
    <x:t xml:space="preserve">情報</x:t>
  </x:si>
  <x:si>
    <x:t xml:space="preserve">情資可信度與預警時間改善</x:t>
  </x:si>
  <x:si>
    <x:t xml:space="preserve">EVT-007</x:t>
  </x:si>
  <x:si>
    <x:t xml:space="preserve">外交降溫倡議</x:t>
  </x:si>
  <x:si>
    <x:t xml:space="preserve">外交</x:t>
  </x:si>
  <x:si>
    <x:t xml:space="preserve">升級成本增加，部分高風險行動受限</x:t>
  </x:si>
  <x:si>
    <x:t xml:space="preserve">EVT-008</x:t>
  </x:si>
  <x:si>
    <x:t xml:space="preserve">港區作業延誤</x:t>
  </x:si>
  <x:si>
    <x:t xml:space="preserve">補給與商業運輸效率下降</x:t>
  </x:si>
  <x:si>
    <x:t xml:space="preserve">EVT-009</x:t>
  </x:si>
  <x:si>
    <x:t xml:space="preserve">備援通訊啟用</x:t>
  </x:si>
  <x:si>
    <x:t xml:space="preserve">指揮韌性回升</x:t>
  </x:si>
  <x:si>
    <x:t xml:space="preserve">EVT-010</x:t>
  </x:si>
  <x:si>
    <x:t xml:space="preserve">外部支援受政治限制</x:t>
  </x:si>
  <x:si>
    <x:t xml:space="preserve">可提供的直接支援選項減少</x:t>
  </x:si>
  <x:si>
    <x:t xml:space="preserve">EVT-011</x:t>
  </x:si>
  <x:si>
    <x:t xml:space="preserve">人道疏散需求增加</x:t>
  </x:si>
  <x:si>
    <x:t xml:space="preserve">需分配護航與醫療資源</x:t>
  </x:si>
  <x:si>
    <x:t xml:space="preserve">EVT-012</x:t>
  </x:si>
  <x:si>
    <x:t xml:space="preserve">停火窗口出現</x:t>
  </x:si>
  <x:si>
    <x:t xml:space="preserve">達成有限協議可獲額外教學分數</x:t>
  </x:si>
  <x:si>
    <x:t xml:space="preserve">EVT-013</x:t>
  </x:si>
  <x:si>
    <x:t xml:space="preserve">無人機中繼網路啟用</x:t>
  </x:si>
  <x:si>
    <x:t xml:space="preserve">分散式無人機節點提供偵察與通訊中繼，但增加持續運作負荷。</x:t>
  </x:si>
  <x:si>
    <x:t xml:space="preserve">EVT-014</x:t>
  </x:si>
  <x:si>
    <x:t xml:space="preserve">星鏈備援鏈路切換</x:t>
  </x:si>
  <x:si>
    <x:t xml:space="preserve">主要鏈路降級後切換至分散式衛星備援通訊。</x:t>
  </x:si>
  <x:si>
    <x:t xml:space="preserve">EVT-015</x:t>
  </x:si>
  <x:si>
    <x:t xml:space="preserve">高空通訊平臺接替</x:t>
  </x:si>
  <x:si>
    <x:t xml:space="preserve">高空平臺接替部分區域通訊中繼，改善跨區協調。</x:t>
  </x:si>
  <x:si>
    <x:t xml:space="preserve">示範回合命令</x:t>
  </x:si>
  <x:si>
    <x:t xml:space="preserve">order_id</x:t>
  </x:si>
  <x:si>
    <x:t xml:space="preserve">action</x:t>
  </x:si>
  <x:si>
    <x:t xml:space="preserve">resource_points</x:t>
  </x:si>
  <x:si>
    <x:t xml:space="preserve">risk_level_1_5</x:t>
  </x:si>
  <x:si>
    <x:t xml:space="preserve">rationale</x:t>
  </x:si>
  <x:si>
    <x:t xml:space="preserve">status</x:t>
  </x:si>
  <x:si>
    <x:t xml:space="preserve">ORD-001</x:t>
  </x:si>
  <x:si>
    <x:t xml:space="preserve">商船護航</x:t>
  </x:si>
  <x:si>
    <x:t xml:space="preserve">在第1回合以商船護航改善任務態勢，並保留後續調整空間。</x:t>
  </x:si>
  <x:si>
    <x:t xml:space="preserve">已提交</x:t>
  </x:si>
  <x:si>
    <x:t xml:space="preserve">合成示範命令</x:t>
  </x:si>
  <x:si>
    <x:t xml:space="preserve">ORD-002</x:t>
  </x:si>
  <x:si>
    <x:t xml:space="preserve">遠程火力展示</x:t>
  </x:si>
  <x:si>
    <x:t xml:space="preserve">在第1回合以遠程火力展示改善任務態勢，並保留後續調整空間。</x:t>
  </x:si>
  <x:si>
    <x:t xml:space="preserve">ORD-003</x:t>
  </x:si>
  <x:si>
    <x:t xml:space="preserve">外交協調</x:t>
  </x:si>
  <x:si>
    <x:t xml:space="preserve">在第1回合以外交協調改善任務態勢，並保留後續調整空間。</x:t>
  </x:si>
  <x:si>
    <x:t xml:space="preserve">ORD-004</x:t>
  </x:si>
  <x:si>
    <x:t xml:space="preserve">分散部署</x:t>
  </x:si>
  <x:si>
    <x:t xml:space="preserve">在第2回合以分散部署改善任務態勢，並保留後續調整空間。</x:t>
  </x:si>
  <x:si>
    <x:t xml:space="preserve">ORD-005</x:t>
  </x:si>
  <x:si>
    <x:t xml:space="preserve">在第2回合以遠程火力展示改善任務態勢，並保留後續調整空間。</x:t>
  </x:si>
  <x:si>
    <x:t xml:space="preserve">ORD-006</x:t>
  </x:si>
  <x:si>
    <x:t xml:space="preserve">人道支援準備</x:t>
  </x:si>
  <x:si>
    <x:t xml:space="preserve">在第2回合以人道支援準備改善任務態勢，並保留後續調整空間。</x:t>
  </x:si>
  <x:si>
    <x:t xml:space="preserve">ORD-007</x:t>
  </x:si>
  <x:si>
    <x:t xml:space="preserve">情報融合</x:t>
  </x:si>
  <x:si>
    <x:t xml:space="preserve">在第3回合以情報融合改善任務態勢，並保留後續調整空間。</x:t>
  </x:si>
  <x:si>
    <x:t xml:space="preserve">ORD-008</x:t>
  </x:si>
  <x:si>
    <x:t xml:space="preserve">外交訊息操作</x:t>
  </x:si>
  <x:si>
    <x:t xml:space="preserve">在第3回合以外交訊息操作改善任務態勢，並保留後續調整空間。</x:t>
  </x:si>
  <x:si>
    <x:t xml:space="preserve">ORD-009</x:t>
  </x:si>
  <x:si>
    <x:t xml:space="preserve">在第3回合以人道支援準備改善任務態勢，並保留後續調整空間。</x:t>
  </x:si>
  <x:si>
    <x:t xml:space="preserve">ORD-010</x:t>
  </x:si>
  <x:si>
    <x:t xml:space="preserve">備援通訊</x:t>
  </x:si>
  <x:si>
    <x:t xml:space="preserve">在第4回合以備援通訊改善任務態勢，並保留後續調整空間。</x:t>
  </x:si>
  <x:si>
    <x:t xml:space="preserve">ORD-011</x:t>
  </x:si>
  <x:si>
    <x:t xml:space="preserve">調整封控區</x:t>
  </x:si>
  <x:si>
    <x:t xml:space="preserve">在第4回合以調整封控區改善任務態勢，並保留後續調整空間。</x:t>
  </x:si>
  <x:si>
    <x:t xml:space="preserve">ORD-012</x:t>
  </x:si>
  <x:si>
    <x:t xml:space="preserve">網路防護支援</x:t>
  </x:si>
  <x:si>
    <x:t xml:space="preserve">在第4回合以網路防護支援改善任務態勢，並保留後續調整空間。</x:t>
  </x:si>
  <x:si>
    <x:t xml:space="preserve">ORD-013</x:t>
  </x:si>
  <x:si>
    <x:t xml:space="preserve">強化防空警戒</x:t>
  </x:si>
  <x:si>
    <x:t xml:space="preserve">在第5回合以強化防空警戒改善任務態勢，並保留後續調整空間。</x:t>
  </x:si>
  <x:si>
    <x:t xml:space="preserve">ORD-014</x:t>
  </x:si>
  <x:si>
    <x:t xml:space="preserve">在第5回合以遠程火力展示改善任務態勢，並保留後續調整空間。</x:t>
  </x:si>
  <x:si>
    <x:t xml:space="preserve">ORD-015</x:t>
  </x:si>
  <x:si>
    <x:t xml:space="preserve">遠距海上存在</x:t>
  </x:si>
  <x:si>
    <x:t xml:space="preserve">在第5回合以遠距海上存在改善任務態勢，並保留後續調整空間。</x:t>
  </x:si>
  <x:si>
    <x:t xml:space="preserve">ORD-016</x:t>
  </x:si>
  <x:si>
    <x:t xml:space="preserve">在第6回合以分散部署改善任務態勢，並保留後續調整空間。</x:t>
  </x:si>
  <x:si>
    <x:t xml:space="preserve">ORD-017</x:t>
  </x:si>
  <x:si>
    <x:t xml:space="preserve">在第6回合以調整封控區改善任務態勢，並保留後續調整空間。</x:t>
  </x:si>
  <x:si>
    <x:t xml:space="preserve">ORD-018</x:t>
  </x:si>
  <x:si>
    <x:t xml:space="preserve">在第6回合以遠距海上存在改善任務態勢，並保留後續調整空間。</x:t>
  </x:si>
  <x:si>
    <x:t xml:space="preserve">ORD-019</x:t>
  </x:si>
  <x:si>
    <x:t xml:space="preserve">在第7回合以情報融合改善任務態勢，並保留後續調整空間。</x:t>
  </x:si>
  <x:si>
    <x:t xml:space="preserve">ORD-020</x:t>
  </x:si>
  <x:si>
    <x:t xml:space="preserve">在第7回合以外交訊息操作改善任務態勢，並保留後續調整空間。</x:t>
  </x:si>
  <x:si>
    <x:t xml:space="preserve">ORD-021</x:t>
  </x:si>
  <x:si>
    <x:t xml:space="preserve">在第7回合以外交協調改善任務態勢，並保留後續調整空間。</x:t>
  </x:si>
  <x:si>
    <x:t xml:space="preserve">ORD-022</x:t>
  </x:si>
  <x:si>
    <x:t xml:space="preserve">後勤修復</x:t>
  </x:si>
  <x:si>
    <x:t xml:space="preserve">在第8回合以後勤修復改善任務態勢，並保留後續調整空間。</x:t>
  </x:si>
  <x:si>
    <x:t xml:space="preserve">ORD-023</x:t>
  </x:si>
  <x:si>
    <x:t xml:space="preserve">電磁壓制</x:t>
  </x:si>
  <x:si>
    <x:t xml:space="preserve">在第8回合以電磁壓制改善任務態勢，並保留後續調整空間。</x:t>
  </x:si>
  <x:si>
    <x:t xml:space="preserve">ORD-024</x:t>
  </x:si>
  <x:si>
    <x:t xml:space="preserve">在第8回合以人道支援準備改善任務態勢，並保留後續調整空間。</x:t>
  </x:si>
  <x:si>
    <x:t xml:space="preserve">ORD-025</x:t>
  </x:si>
  <x:si>
    <x:t xml:space="preserve">在第9回合以情報融合改善任務態勢，並保留後續調整空間。</x:t>
  </x:si>
  <x:si>
    <x:t xml:space="preserve">ORD-026</x:t>
  </x:si>
  <x:si>
    <x:t xml:space="preserve">增加空中施壓</x:t>
  </x:si>
  <x:si>
    <x:t xml:space="preserve">在第9回合以增加空中施壓改善任務態勢，並保留後續調整空間。</x:t>
  </x:si>
  <x:si>
    <x:t xml:space="preserve">ORD-027</x:t>
  </x:si>
  <x:si>
    <x:t xml:space="preserve">在第9回合以網路防護支援改善任務態勢，並保留後續調整空間。</x:t>
  </x:si>
  <x:si>
    <x:t xml:space="preserve">ORD-028</x:t>
  </x:si>
  <x:si>
    <x:t xml:space="preserve">在第10回合以商船護航改善任務態勢，並保留後續調整空間。</x:t>
  </x:si>
  <x:si>
    <x:t xml:space="preserve">ORD-029</x:t>
  </x:si>
  <x:si>
    <x:t xml:space="preserve">海上臨檢演示</x:t>
  </x:si>
  <x:si>
    <x:t xml:space="preserve">在第10回合以海上臨檢演示改善任務態勢，並保留後續調整空間。</x:t>
  </x:si>
  <x:si>
    <x:t xml:space="preserve">ORD-030</x:t>
  </x:si>
  <x:si>
    <x:t xml:space="preserve">在第10回合以人道支援準備改善任務態勢，並保留後續調整空間。</x:t>
  </x:si>
  <x:si>
    <x:t xml:space="preserve">ORD-031</x:t>
  </x:si>
  <x:si>
    <x:t xml:space="preserve">在第11回合以商船護航改善任務態勢，並保留後續調整空間。</x:t>
  </x:si>
  <x:si>
    <x:t xml:space="preserve">ORD-032</x:t>
  </x:si>
  <x:si>
    <x:t xml:space="preserve">在第11回合以增加空中施壓改善任務態勢，並保留後續調整空間。</x:t>
  </x:si>
  <x:si>
    <x:t xml:space="preserve">ORD-033</x:t>
  </x:si>
  <x:si>
    <x:t xml:space="preserve">在第11回合以外交協調改善任務態勢，並保留後續調整空間。</x:t>
  </x:si>
  <x:si>
    <x:t xml:space="preserve">ORD-034</x:t>
  </x:si>
  <x:si>
    <x:t xml:space="preserve">在第12回合以分散部署改善任務態勢，並保留後續調整空間。</x:t>
  </x:si>
  <x:si>
    <x:t xml:space="preserve">ORD-035</x:t>
  </x:si>
  <x:si>
    <x:t xml:space="preserve">在第12回合以增加空中施壓改善任務態勢，並保留後續調整空間。</x:t>
  </x:si>
  <x:si>
    <x:t xml:space="preserve">ORD-036</x:t>
  </x:si>
  <x:si>
    <x:t xml:space="preserve">在第12回合以人道支援準備改善任務態勢，並保留後續調整空間。</x:t>
  </x:si>
  <x:si>
    <x:t xml:space="preserve">合成交戰與防護判定</x:t>
  </x:si>
  <x:si>
    <x:t xml:space="preserve">engagement_id</x:t>
  </x:si>
  <x:si>
    <x:t xml:space="preserve">attacker</x:t>
  </x:si>
  <x:si>
    <x:t xml:space="preserve">defender</x:t>
  </x:si>
  <x:si>
    <x:t xml:space="preserve">incoming_targets</x:t>
  </x:si>
  <x:si>
    <x:t xml:space="preserve">interceptor_shots</x:t>
  </x:si>
  <x:si>
    <x:t xml:space="preserve">base_p</x:t>
  </x:si>
  <x:si>
    <x:t xml:space="preserve">detection_quality</x:t>
  </x:si>
  <x:si>
    <x:t xml:space="preserve">sea_state</x:t>
  </x:si>
  <x:si>
    <x:t xml:space="preserve">jamming_level</x:t>
  </x:si>
  <x:si>
    <x:t xml:space="preserve">adjusted_p</x:t>
  </x:si>
  <x:si>
    <x:t xml:space="preserve">at_least_one_success_p</x:t>
  </x:si>
  <x:si>
    <x:t xml:space="preserve">adjudicated_outcome</x:t>
  </x:si>
  <x:si>
    <x:t xml:space="preserve">damage_severity</x:t>
  </x:si>
  <x:si>
    <x:t xml:space="preserve">safety_note</x:t>
  </x:si>
  <x:si>
    <x:t xml:space="preserve">ENG-001</x:t>
  </x:si>
  <x:si>
    <x:t xml:space="preserve">防護成功</x:t>
  </x:si>
  <x:si>
    <x:t xml:space="preserve">輕微</x:t>
  </x:si>
  <x:si>
    <x:t xml:space="preserve">所有效能與結果均為合成；不得對應真實系統</x:t>
  </x:si>
  <x:si>
    <x:t xml:space="preserve">ENG-002</x:t>
  </x:si>
  <x:si>
    <x:t xml:space="preserve">部分/未成功</x:t>
  </x:si>
  <x:si>
    <x:t xml:space="preserve">ENG-003</x:t>
  </x:si>
  <x:si>
    <x:t xml:space="preserve">重大</x:t>
  </x:si>
  <x:si>
    <x:t xml:space="preserve">ENG-004</x:t>
  </x:si>
  <x:si>
    <x:t xml:space="preserve">ENG-005</x:t>
  </x:si>
  <x:si>
    <x:t xml:space="preserve">ENG-006</x:t>
  </x:si>
  <x:si>
    <x:t xml:space="preserve">ENG-007</x:t>
  </x:si>
  <x:si>
    <x:t xml:space="preserve">無</x:t>
  </x:si>
  <x:si>
    <x:t xml:space="preserve">ENG-008</x:t>
  </x:si>
  <x:si>
    <x:t xml:space="preserve">中等</x:t>
  </x:si>
  <x:si>
    <x:t xml:space="preserve">ENG-009</x:t>
  </x:si>
  <x:si>
    <x:t xml:space="preserve">ENG-010</x:t>
  </x:si>
  <x:si>
    <x:t xml:space="preserve">ENG-011</x:t>
  </x:si>
  <x:si>
    <x:t xml:space="preserve">ENG-012</x:t>
  </x:si>
  <x:si>
    <x:t xml:space="preserve">ENG-013</x:t>
  </x:si>
  <x:si>
    <x:t xml:space="preserve">ENG-014</x:t>
  </x:si>
  <x:si>
    <x:t xml:space="preserve">ENG-015</x:t>
  </x:si>
  <x:si>
    <x:t xml:space="preserve">ENG-016</x:t>
  </x:si>
  <x:si>
    <x:t xml:space="preserve">ENG-017</x:t>
  </x:si>
  <x:si>
    <x:t xml:space="preserve">ENG-018</x:t>
  </x:si>
  <x:si>
    <x:t xml:space="preserve">ENG-019</x:t>
  </x:si>
  <x:si>
    <x:t xml:space="preserve">ENG-020</x:t>
  </x:si>
  <x:si>
    <x:t xml:space="preserve">ENG-021</x:t>
  </x:si>
  <x:si>
    <x:t xml:space="preserve">ENG-022</x:t>
  </x:si>
  <x:si>
    <x:t xml:space="preserve">ENG-023</x:t>
  </x:si>
  <x:si>
    <x:t xml:space="preserve">ENG-024</x:t>
  </x:si>
  <x:si>
    <x:t xml:space="preserve">合成損耗與恢復紀錄</x:t>
  </x:si>
  <x:si>
    <x:t xml:space="preserve">attrition_id</x:t>
  </x:si>
  <x:si>
    <x:t xml:space="preserve">cause</x:t>
  </x:si>
  <x:si>
    <x:t xml:space="preserve">readiness_before</x:t>
  </x:si>
  <x:si>
    <x:t xml:space="preserve">readiness_loss</x:t>
  </x:si>
  <x:si>
    <x:t xml:space="preserve">repair_gain</x:t>
  </x:si>
  <x:si>
    <x:t xml:space="preserve">readiness_after</x:t>
  </x:si>
  <x:si>
    <x:t xml:space="preserve">ammo_change_index</x:t>
  </x:si>
  <x:si>
    <x:t xml:space="preserve">fuel_change_index</x:t>
  </x:si>
  <x:si>
    <x:t xml:space="preserve">damage_level</x:t>
  </x:si>
  <x:si>
    <x:t xml:space="preserve">ATR-001</x:t>
  </x:si>
  <x:si>
    <x:t xml:space="preserve">維修延誤</x:t>
  </x:si>
  <x:si>
    <x:t xml:space="preserve">合成損耗/恢復紀錄</x:t>
  </x:si>
  <x:si>
    <x:t xml:space="preserve">ATR-002</x:t>
  </x:si>
  <x:si>
    <x:t xml:space="preserve">事件損害</x:t>
  </x:si>
  <x:si>
    <x:t xml:space="preserve">ATR-003</x:t>
  </x:si>
  <x:si>
    <x:t xml:space="preserve">ATR-004</x:t>
  </x:si>
  <x:si>
    <x:t xml:space="preserve">任務消耗</x:t>
  </x:si>
  <x:si>
    <x:t xml:space="preserve">ATR-005</x:t>
  </x:si>
  <x:si>
    <x:t xml:space="preserve">電磁干擾</x:t>
  </x:si>
  <x:si>
    <x:t xml:space="preserve">ATR-006</x:t>
  </x:si>
  <x:si>
    <x:t xml:space="preserve">ATR-007</x:t>
  </x:si>
  <x:si>
    <x:t xml:space="preserve">海象影響</x:t>
  </x:si>
  <x:si>
    <x:t xml:space="preserve">ATR-008</x:t>
  </x:si>
  <x:si>
    <x:t xml:space="preserve">ATR-009</x:t>
  </x:si>
  <x:si>
    <x:t xml:space="preserve">ATR-010</x:t>
  </x:si>
  <x:si>
    <x:t xml:space="preserve">ATR-011</x:t>
  </x:si>
  <x:si>
    <x:t xml:space="preserve">人員疲勞</x:t>
  </x:si>
  <x:si>
    <x:t xml:space="preserve">ATR-012</x:t>
  </x:si>
  <x:si>
    <x:t xml:space="preserve">ATR-013</x:t>
  </x:si>
  <x:si>
    <x:t xml:space="preserve">ATR-014</x:t>
  </x:si>
  <x:si>
    <x:t xml:space="preserve">ATR-015</x:t>
  </x:si>
  <x:si>
    <x:t xml:space="preserve">ATR-016</x:t>
  </x:si>
  <x:si>
    <x:t xml:space="preserve">ATR-017</x:t>
  </x:si>
  <x:si>
    <x:t xml:space="preserve">ATR-018</x:t>
  </x:si>
  <x:si>
    <x:t xml:space="preserve">ATR-019</x:t>
  </x:si>
  <x:si>
    <x:t xml:space="preserve">ATR-020</x:t>
  </x:si>
  <x:si>
    <x:t xml:space="preserve">ATR-021</x:t>
  </x:si>
  <x:si>
    <x:t xml:space="preserve">ATR-022</x:t>
  </x:si>
  <x:si>
    <x:t xml:space="preserve">ATR-023</x:t>
  </x:si>
  <x:si>
    <x:t xml:space="preserve">ATR-024</x:t>
  </x:si>
  <x:si>
    <x:t xml:space="preserve">ATR-025</x:t>
  </x:si>
  <x:si>
    <x:t xml:space="preserve">ATR-026</x:t>
  </x:si>
  <x:si>
    <x:t xml:space="preserve">ATR-027</x:t>
  </x:si>
  <x:si>
    <x:t xml:space="preserve">ATR-028</x:t>
  </x:si>
  <x:si>
    <x:t xml:space="preserve">ATR-029</x:t>
  </x:si>
  <x:si>
    <x:t xml:space="preserve">ATR-030</x:t>
  </x:si>
  <x:si>
    <x:t xml:space="preserve">攔截資源配置教學實驗（合成參數）</x:t>
  </x:si>
  <x:si>
    <x:t xml:space="preserve">case_id</x:t>
  </x:si>
  <x:si>
    <x:t xml:space="preserve">case_name</x:t>
  </x:si>
  <x:si>
    <x:t xml:space="preserve">adjusted_single_attempt_p</x:t>
  </x:si>
  <x:si>
    <x:t xml:space="preserve">expected_residual_targets</x:t>
  </x:si>
  <x:si>
    <x:t xml:space="preserve">LAB-01</x:t>
  </x:si>
  <x:si>
    <x:t xml:space="preserve">單一低強度來襲</x:t>
  </x:si>
  <x:si>
    <x:t xml:space="preserve">合成教學參數</x:t>
  </x:si>
  <x:si>
    <x:t xml:space="preserve">LAB-02</x:t>
  </x:si>
  <x:si>
    <x:t xml:space="preserve">單一低強度來襲－雙發配置</x:t>
  </x:si>
  <x:si>
    <x:t xml:space="preserve">LAB-03</x:t>
  </x:si>
  <x:si>
    <x:t xml:space="preserve">多目標中等干擾</x:t>
  </x:si>
  <x:si>
    <x:t xml:space="preserve">LAB-04</x:t>
  </x:si>
  <x:si>
    <x:t xml:space="preserve">多目標高海象與干擾</x:t>
  </x:si>
  <x:si>
    <x:t xml:space="preserve">LAB-05</x:t>
  </x:si>
  <x:si>
    <x:t xml:space="preserve">改善預警後的多目標情境</x:t>
  </x:si>
  <x:si>
    <x:t xml:space="preserve">LAB-06</x:t>
  </x:si>
  <x:si>
    <x:t xml:space="preserve">保留庫存的節制配置</x:t>
  </x:si>
  <x:si>
    <x:t xml:space="preserve">模型說明：此處只比較「相同合成假設下」的資源配置差異。實際防空成效不具獨立性，且受感測鏈、射擊窗口、同時多目標、指管延遲與系統失效等共同因素影響。</x:t>
  </x:si>
  <x:si>
    <x:t xml:space="preserve">臺海教學兵推資料庫 Dashboard（所有作戰參數均為合成）</x:t>
  </x:si>
  <x:si>
    <x:t xml:space="preserve">KPI</x:t>
  </x:si>
  <x:si>
    <x:t xml:space="preserve">值</x:t>
  </x:si>
  <x:si>
    <x:t xml:space="preserve">單位</x:t>
  </x:si>
  <x:si>
    <x:t xml:space="preserve">說明</x:t>
  </x:si>
  <x:si>
    <x:t xml:space="preserve">交戰摘要</x:t>
  </x:si>
  <x:si>
    <x:t xml:space="preserve">資料類型</x:t>
  </x:si>
  <x:si>
    <x:t xml:space="preserve">提醒</x:t>
  </x:si>
  <x:si>
    <x:t xml:space="preserve">個</x:t>
  </x:si>
  <x:si>
    <x:t xml:space="preserve">可作為背景、趨勢、地理與氣象資料</x:t>
  </x:si>
  <x:si>
    <x:t xml:space="preserve">合成交戰事件</x:t>
  </x:si>
  <x:si>
    <x:t xml:space="preserve">筆</x:t>
  </x:si>
  <x:si>
    <x:t xml:space="preserve">不可視為實戰統計</x:t>
  </x:si>
  <x:si>
    <x:t xml:space="preserve">不對應真實編裝或部署</x:t>
  </x:si>
  <x:si>
    <x:t xml:space="preserve">裁決為防護成功</x:t>
  </x:si>
  <x:si>
    <x:t xml:space="preserve">由隨機示範產生</x:t>
  </x:si>
  <x:si>
    <x:t xml:space="preserve">回合</x:t>
  </x:si>
  <x:si>
    <x:t xml:space="preserve">每回合6小時</x:t>
  </x:si>
  <x:si>
    <x:t xml:space="preserve">事件卡</x:t>
  </x:si>
  <x:si>
    <x:t xml:space="preserve">張</x:t>
  </x:si>
  <x:si>
    <x:t xml:space="preserve">涵蓋民事、後勤、氣象與外交</x:t>
  </x:si>
  <x:si>
    <x:t xml:space="preserve">含可信度與教師真實狀態</x:t>
  </x:si>
  <x:si>
    <x:t xml:space="preserve">公開活動樣本</x:t>
  </x:si>
  <x:si>
    <x:t xml:space="preserve">真實公開</x:t>
  </x:si>
  <x:si>
    <x:t xml:space="preserve">僅少量示範</x:t>
  </x:si>
  <x:si>
    <x:t xml:space="preserve">avg_readiness_before</x:t>
  </x:si>
  <x:si>
    <x:t xml:space="preserve">avg_readiness_after</x:t>
  </x:si>
  <x:si>
    <x:t xml:space="preserve">events</x:t>
  </x:si>
  <x:si>
    <x:t xml:space="preserve">使用建議：先以公開來源建立「事件與背景層」，再由教師建立合成兵力、庫存與效能參數；學生看到的情報與教師真實狀態應分離，所有人工裁決必須留下理由。</x:t>
  </x:si>
  <x:si>
    <x:t xml:space="preserve">九種內建情境範本與完整預設設定</x:t>
  </x:si>
  <x:si>
    <x:t xml:space="preserve">介面標籤</x:t>
  </x:si>
  <x:si>
    <x:t xml:space="preserve">想定名稱</x:t>
  </x:si>
  <x:si>
    <x:t xml:space="preserve">重點</x:t>
  </x:si>
  <x:si>
    <x:t xml:space="preserve">難度</x:t>
  </x:si>
  <x:si>
    <x:t xml:space="preserve">時數/回合</x:t>
  </x:si>
  <x:si>
    <x:t xml:space="preserve">時間範圍</x:t>
  </x:si>
  <x:si>
    <x:t xml:space="preserve">情報不確定度</x:t>
  </x:si>
  <x:si>
    <x:t xml:space="preserve">民事壓力</x:t>
  </x:si>
  <x:si>
    <x:t xml:space="preserve">外部支援</x:t>
  </x:si>
  <x:si>
    <x:t xml:space="preserve">天候</x:t>
  </x:si>
  <x:si>
    <x:t xml:space="preserve">回合順序</x:t>
  </x:si>
  <x:si>
    <x:t xml:space="preserve">先手公開</x:t>
  </x:si>
  <x:si>
    <x:t xml:space="preserve">來源/案例</x:t>
  </x:si>
  <x:si>
    <x:t xml:space="preserve">簡介</x:t>
  </x:si>
  <x:si>
    <x:t xml:space="preserve">有限封控與商運壓力（預設）</x:t>
  </x:si>
  <x:si>
    <x:t xml:space="preserve">sealed</x:t>
  </x:si>
  <x:si>
    <x:t xml:space="preserve">自訂合成想定</x:t>
  </x:si>
  <x:si>
    <x:t xml:space="preserve">有限封控、商運改道與資訊操作同時出現；各方須在不完整資訊下保存資源並避免危機升級。</x:t>
  </x:si>
  <x:si>
    <x:t xml:space="preserve">["維持關鍵海空通道與指揮韌性","在資源有限下平衡防護、後勤與民事需求","辨識升級風險並保留外交空間"]</x:t>
  </x:si>
  <x:si>
    <x:t xml:space="preserve">["關鍵功能維持在可接受水準","未因單一回合投入耗盡後續資源","能解釋每項決策的假設與替代方案"]</x:t>
  </x:si>
  <x:si>
    <x:t xml:space="preserve">[]</x:t>
  </x:si>
  <x:si>
    <x:t xml:space="preserve">{"coercionMode":"limited_blockade","energyReserveDays":30,"residualPowerPct":80,"precisionStockpileDays":30,"nuclearStrikeCount":0,"globalEconomicShock":1}</x:t>
  </x:si>
  <x:si>
    <x:t xml:space="preserve">{"blueAircraft":48,"blueInterceptors":160,"blueVessels":14,"blueLogistics":72,"blueDrones":120,"starlinkNodes":24,"highAltitudePlatforms":6,"redAircraft":96,"redIncoming":180,"redVessels":24,"redLogistics":84}</x:t>
  </x:si>
  <x:si>
    <x:t xml:space="preserve">防空資源與預警</x:t>
  </x:si>
  <x:si>
    <x:t xml:space="preserve">多方向空情與合成來襲目標造成警戒壓力，必須在預警、攔截存量與民事影響之間做取捨。</x:t>
  </x:si>
  <x:si>
    <x:t xml:space="preserve">["比較預警品質、攔截配置與庫存保留","處理多目標與資訊不確定性","理解單次成功率不等於整體防護效果"]</x:t>
  </x:si>
  <x:si>
    <x:t xml:space="preserve">["防護任務與庫存風險取得平衡","能說明感測、指管及環境對結果的影響","避免把合成機率視為真實武器性能"]</x:t>
  </x:si>
  <x:si>
    <x:t xml:space="preserve">後勤優先</x:t>
  </x:si>
  <x:si>
    <x:t xml:space="preserve">港口作業、運輸節點與維修批次陸續受阻；推演重點是優先順序、替代路線與資源保存。</x:t>
  </x:si>
  <x:si>
    <x:t xml:space="preserve">["維持補給、維修與運輸節點","在任務壓力下安排修復優先順序","評估民事交通與軍事後勤的衝突"]</x:t>
  </x:si>
  <x:si>
    <x:t xml:space="preserve">["持續性指數未跌破危險門檻","完成至少一次有效修復或替代路線","提出可驗證的後勤風險指標"]</x:t>
  </x:si>
  <x:si>
    <x:t xml:space="preserve">灰色地帶與資訊迷霧</x:t>
  </x:si>
  <x:si>
    <x:t xml:space="preserve">不明海空活動、訊息操作與模糊歸因事件交錯，需區分事實、推測與未知。</x:t>
  </x:si>
  <x:si>
    <x:t xml:space="preserve">["區分事實、推測及未知","評估來源可靠度與分析信心","避免以單一訊息直接推導對手意圖"]</x:t>
  </x:si>
  <x:si>
    <x:t xml:space="preserve">["重大決策引用至少兩項獨立線索","明確標記關鍵假設","能在新情報出現後修正判斷"]</x:t>
  </x:si>
  <x:si>
    <x:t xml:space="preserve">人道疏散與民事協調</x:t>
  </x:si>
  <x:si>
    <x:t xml:space="preserve">人道需求、商運延誤與公共訊息壓力升高；資源配置需兼顧防護、疏散與基本服務。</x:t>
  </x:si>
  <x:si>
    <x:t xml:space="preserve">["維持商運、人道與基礎功能","處理假訊息與群眾焦慮","平衡軍事行動與民事風險"]</x:t>
  </x:si>
  <x:si>
    <x:t xml:space="preserve">["民事風險未持續失控","建立公開訊息與跨部門協調方案","每回合均評估非軍事後果"]</x:t>
  </x:si>
  <x:si>
    <x:t xml:space="preserve">危機降溫與外交窗口</x:t>
  </x:si>
  <x:si>
    <x:t xml:space="preserve">高風險互動後出現有限降溫窗口，需將資源使用、公開訊息與外交協調連成一致策略。</x:t>
  </x:si>
  <x:si>
    <x:t xml:space="preserve">["辨識可能觸發升級的行動","利用外交訊號及有限承諾創造降溫窗口","評估外部支援的政治限制"]</x:t>
  </x:si>
  <x:si>
    <x:t xml:space="preserve">["保留至少一條降溫或談判路徑","避免只以戰果衡量任務成果","能說明軍事與政治目標的關係"]</x:t>
  </x:si>
  <x:si>
    <x:t xml:space="preserve">CSIS《燈火管制》（2025）：封鎖與能源韌性</x:t>
  </x:si>
  <x:si>
    <x:t xml:space="preserve">public</x:t>
  </x:si>
  <x:si>
    <x:t xml:space="preserve">CSIS《燈火管制：中國封鎖台灣兵推》（2025）案例假設</x:t>
  </x:si>
  <x:si>
    <x:t xml:space="preserve">共軍以海警與海上民兵執法為由切斷航運，美日協調護航破封；推演核心是商運持續、能源配給與避免灰色地帶危機失控。</x:t>
  </x:si>
  <x:si>
    <x:t xml:space="preserve">["維持最低限度商運與能源輸入","協調多國護航、港口與保險機制","在執法封控敘事下控制升級風險"]</x:t>
  </x:si>
  <x:si>
    <x:t xml:space="preserve">["第10日仍維持關鍵民生與指揮用電","建立可持續且可解釋的商船護航機制","能源配給未使民事風險持續失控"]</x:t>
  </x:si>
  <x:si>
    <x:t xml:space="preserve">["案例假設：LNG安全存量於封鎖後10天耗盡。","案例假設：能源耗盡後電力降至平時35%。"]</x:t>
  </x:si>
  <x:si>
    <x:t xml:space="preserve">[{"title":"CSIS — Lights Out? Wargaming a Chinese Blockade of Taiwan","url":"https://www.csis.org/analysis/lights-out-wargaming-chinese-blockade-taiwan"}]</x:t>
  </x:si>
  <x:si>
    <x:t xml:space="preserve">{"coercionMode":"law_enforcement_blockade","energyReserveDays":10,"residualPowerPct":35,"precisionStockpileDays":30,"nuclearStrikeCount":0,"globalEconomicShock":4}</x:t>
  </x:si>
  <x:si>
    <x:t xml:space="preserve">[{"trigger_turn":2,"event_name":"海警宣布擴大臨檢","category":"封控","zone_id":"Z-CW","affected_actor":"ALL","description":"以執法名義提高商船進出與保險壓力。","sustainment_delta":-3,"civilian_risk_delta":5},{"trigger_turn":10,"event_name":"護航破封協調窗口","category":"外交","zone_id":"Z-REAR","affected_actor":"AMBER","description":"美日與商運單位研議多國護航及航運風險分攤。","command_delta":4,"sustainment_delta":3},{"trigger_turn":20,"event_name":"能源安全存量耗盡","category":"能源","zone_id":"Z-ISL","affected_actor":"BLUE","description":"案例假設下LNG安全存量耗盡，電力供應面臨快速下降。","readiness_delta":-12,"sustainment_delta":-18,"command_delta":-4,"civilian_risk_delta":18}]</x:t>
  </x:si>
  <x:si>
    <x:t xml:space="preserve">CSIS &amp; MIT（2024）：核升級風險</x:t>
  </x:si>
  <x:si>
    <x:t xml:space="preserve">CSIS &amp; MIT《台海衝突納入核武推演》（2024）案例假設</x:t>
  </x:si>
  <x:si>
    <x:t xml:space="preserve">傳統戰局對中方不利後，危機跨越核門檻；推演聚焦預警判讀、政治溝通、分散韌性與終止衝突，不處理核武目標或運用細節。</x:t>
  </x:si>
  <x:si>
    <x:t xml:space="preserve">["辨識核升級警訊並保留溝通管道","維持最低限度指揮與民事應變功能","建立衝突終止與避免後續升級的政策選項"]</x:t>
  </x:si>
  <x:si>
    <x:t xml:space="preserve">["在核門檻前提出可信的降溫方案","核事件後維持跨部門指揮與公共訊息","決策未以報復交換取代政治目標"]</x:t>
  </x:si>
  <x:si>
    <x:t xml:space="preserve">["只採抽象核風險裁決，不呈現目標、武器、當量或運用方式。","案例假設：傳統戰局不利時發生7次戰術核武攻擊。"]</x:t>
  </x:si>
  <x:si>
    <x:t xml:space="preserve">[{"title":"CSIS — Confronting Armageddon","url":"https://www.csis.org/analysis/confronting-armageddon"},{"title":"MIT Security Studies Program — Flagship Games","url":"https://ssp.mit.edu/wargaming-lab/flagship-games"}]</x:t>
  </x:si>
  <x:si>
    <x:t xml:space="preserve">{"coercionMode":"nuclear_escalation","energyReserveDays":20,"residualPowerPct":50,"precisionStockpileDays":14,"nuclearStrikeCount":7,"globalEconomicShock":5}</x:t>
  </x:si>
  <x:si>
    <x:t xml:space="preserve">[{"trigger_turn":6,"event_name":"核升級警訊增強","category":"戰略預警","zone_id":"Z-REAR","affected_actor":"ALL","description":"情報顯示核門檻風險顯著升高，外交與危機溝通窗口縮小。","command_delta":-5,"civilian_risk_delta":12},{"trigger_turn":8,"event_name":"七次戰術核武攻擊（抽象裁決）","category":"核升級","zone_id":"Z-ISL","affected_actor":"ALL","description":"依案例假設進行整體性衝擊裁決；不包含目標、武器或運用細節。","readiness_delta":-25,"sustainment_delta":-25,"command_delta":-20,"civilian_risk_delta":40}]</x:t>
  </x:si>
  <x:si>
    <x:t xml:space="preserve">美國國會 × CNAS：彈藥與全球經濟衝擊</x:t>
  </x:si>
  <x:si>
    <x:t xml:space="preserve">美國國會與新美國安全中心（CNAS）政策級兵推案例假設</x:t>
  </x:si>
  <x:si>
    <x:t xml:space="preserve">政策級推演聚焦開戰後一週內遠程精準導引彈藥耗盡，以及航運、金融、能源與科技供應鏈引發的全球連鎖經濟衝擊。</x:t>
  </x:si>
  <x:si>
    <x:t xml:space="preserve">["在一週彈藥限制下設定可持續的政治與軍事優先序","協調工業補充、盟友分工與供應鏈替代","管理全球金融、航運與民生連鎖風險"]</x:t>
  </x:si>
  <x:si>
    <x:t xml:space="preserve">["第7日仍保有關鍵任務所需資源","建立工業補充與盟友分攤方案","全球經濟衝擊未使政策目標失去可持續性"]</x:t>
  </x:si>
  <x:si>
    <x:t xml:space="preserve">["案例假設：開戰後一週內耗盡遠程精準導引彈藥。","每回合必須同時評估全球經濟與民事後果。"]</x:t>
  </x:si>
  <x:si>
    <x:t xml:space="preserve">[{"title":"CNAS — Bad Blood: The TTX for the House Select Committee on the CCP","url":"https://www.cnas.org/publications/congressional-testimony/bad-blood-ttx"}]</x:t>
  </x:si>
  <x:si>
    <x:t xml:space="preserve">{"coercionMode":"conventional_conflict","energyReserveDays":14,"residualPowerPct":45,"precisionStockpileDays":7,"nuclearStrikeCount":0,"globalEconomicShock":5}</x:t>
  </x:si>
  <x:si>
    <x:t xml:space="preserve">[{"trigger_turn":6,"event_name":"全球金融與航運震盪","category":"經濟","zone_id":"Z-REAR","affected_actor":"ALL","description":"保險、金融、能源與科技供應鏈出現跨區域連鎖壓力。","sustainment_delta":-8,"command_delta":-3,"civilian_risk_delta":15},{"trigger_turn":14,"event_name":"遠程精準彈藥耗盡","category":"後勤","zone_id":"Z-REAR","affected_actor":"AMBER","description":"案例假設下，一週後遠程精準導引彈藥存量耗盡。","readiness_delta":-18,"sustainment_delta":-20,"command_delta":-5}]</x:t>
  </x:si>
  <x:si>
    <x:t xml:space="preserve">合成資源預設值與介面限制</x:t>
  </x:si>
  <x:si>
    <x:t xml:space="preserve">resource_id</x:t>
  </x:si>
  <x:si>
    <x:t xml:space="preserve">類別</x:t>
  </x:si>
  <x:si>
    <x:t xml:space="preserve">資源名稱</x:t>
  </x:si>
  <x:si>
    <x:t xml:space="preserve">預設值</x:t>
  </x:si>
  <x:si>
    <x:t xml:space="preserve">最小值</x:t>
  </x:si>
  <x:si>
    <x:t xml:space="preserve">最大值</x:t>
  </x:si>
  <x:si>
    <x:t xml:space="preserve">效果說明</x:t>
  </x:si>
  <x:si>
    <x:t xml:space="preserve">資料分類</x:t>
  </x:si>
  <x:si>
    <x:t xml:space="preserve">blueAircraft</x:t>
  </x:si>
  <x:si>
    <x:t xml:space="preserve">藍方可用航空架次</x:t>
  </x:si>
  <x:si>
    <x:t xml:space="preserve">合成單位</x:t>
  </x:si>
  <x:si>
    <x:t xml:space="preserve">影響藍方資源平衡</x:t>
  </x:si>
  <x:si>
    <x:t xml:space="preserve">blueInterceptors</x:t>
  </x:si>
  <x:si>
    <x:t xml:space="preserve">藍方攔截彈庫存</x:t>
  </x:si>
  <x:si>
    <x:t xml:space="preserve">blueVessels</x:t>
  </x:si>
  <x:si>
    <x:t xml:space="preserve">海上</x:t>
  </x:si>
  <x:si>
    <x:t xml:space="preserve">藍方海上巡防平台</x:t>
  </x:si>
  <x:si>
    <x:t xml:space="preserve">blueLogistics</x:t>
  </x:si>
  <x:si>
    <x:t xml:space="preserve">藍方後勤補給批次</x:t>
  </x:si>
  <x:si>
    <x:t xml:space="preserve">blueDrones</x:t>
  </x:si>
  <x:si>
    <x:t xml:space="preserve">藍方無人機任務批次</x:t>
  </x:si>
  <x:si>
    <x:t xml:space="preserve">影響藍方資源平衡與初始情報品質</x:t>
  </x:si>
  <x:si>
    <x:t xml:space="preserve">starlinkNodes</x:t>
  </x:si>
  <x:si>
    <x:t xml:space="preserve">星鏈備援通訊節點</x:t>
  </x:si>
  <x:si>
    <x:t xml:space="preserve">影響藍方資源平衡與初始指管品質</x:t>
  </x:si>
  <x:si>
    <x:t xml:space="preserve">highAltitudePlatforms</x:t>
  </x:si>
  <x:si>
    <x:t xml:space="preserve">高空通訊平臺</x:t>
  </x:si>
  <x:si>
    <x:t xml:space="preserve">redAircraft</x:t>
  </x:si>
  <x:si>
    <x:t xml:space="preserve">紅方航空架次</x:t>
  </x:si>
  <x:si>
    <x:t xml:space="preserve">影響紅方資源平衡</x:t>
  </x:si>
  <x:si>
    <x:t xml:space="preserve">redIncoming</x:t>
  </x:si>
  <x:si>
    <x:t xml:space="preserve">合成目標</x:t>
  </x:si>
  <x:si>
    <x:t xml:space="preserve">紅方合成來襲目標</x:t>
  </x:si>
  <x:si>
    <x:t xml:space="preserve">redVessels</x:t>
  </x:si>
  <x:si>
    <x:t xml:space="preserve">紅方海上平台</x:t>
  </x:si>
  <x:si>
    <x:t xml:space="preserve">redLogistics</x:t>
  </x:si>
  <x:si>
    <x:t xml:space="preserve">紅方後勤補給批次</x:t>
  </x:si>
  <x:si>
    <x:t xml:space="preserve">回合行動目錄與抽象裁決修正</x:t>
  </x:si>
  <x:si>
    <x:t xml:space="preserve">action_id</x:t>
  </x:si>
  <x:si>
    <x:t xml:space="preserve">行動名稱</x:t>
  </x:si>
  <x:si>
    <x:t xml:space="preserve">準備度修正</x:t>
  </x:si>
  <x:si>
    <x:t xml:space="preserve">持續性修正</x:t>
  </x:si>
  <x:si>
    <x:t xml:space="preserve">指管修正</x:t>
  </x:si>
  <x:si>
    <x:t xml:space="preserve">情報修正</x:t>
  </x:si>
  <x:si>
    <x:t xml:space="preserve">民事風險修正</x:t>
  </x:si>
  <x:si>
    <x:t xml:space="preserve">備註</x:t>
  </x:si>
  <x:si>
    <x:t xml:space="preserve">ACT-BLUE-01</x:t>
  </x:si>
  <x:si>
    <x:t xml:space="preserve">與 app.js ACTIONS 同步；數值為抽象教育裁決修正。</x:t>
  </x:si>
  <x:si>
    <x:t xml:space="preserve">ACT-BLUE-02</x:t>
  </x:si>
  <x:si>
    <x:t xml:space="preserve">ACT-BLUE-03</x:t>
  </x:si>
  <x:si>
    <x:t xml:space="preserve">ACT-BLUE-04</x:t>
  </x:si>
  <x:si>
    <x:t xml:space="preserve">ACT-BLUE-05</x:t>
  </x:si>
  <x:si>
    <x:t xml:space="preserve">ACT-BLUE-06</x:t>
  </x:si>
  <x:si>
    <x:t xml:space="preserve">ACT-BLUE-07</x:t>
  </x:si>
  <x:si>
    <x:t xml:space="preserve">無人機偵察與通訊中繼</x:t>
  </x:si>
  <x:si>
    <x:t xml:space="preserve">ACT-BLUE-08</x:t>
  </x:si>
  <x:si>
    <x:t xml:space="preserve">星鏈與高空平臺備援通訊</x:t>
  </x:si>
  <x:si>
    <x:t xml:space="preserve">ACT-BLUE-09</x:t>
  </x:si>
  <x:si>
    <x:t xml:space="preserve">能源配給與電網調度</x:t>
  </x:si>
  <x:si>
    <x:t xml:space="preserve">ACT-BLUE-10</x:t>
  </x:si>
  <x:si>
    <x:t xml:space="preserve">經濟持續運作協調</x:t>
  </x:si>
  <x:si>
    <x:t xml:space="preserve">ACT-RED-01</x:t>
  </x:si>
  <x:si>
    <x:t xml:space="preserve">ACT-RED-02</x:t>
  </x:si>
  <x:si>
    <x:t xml:space="preserve">ACT-RED-03</x:t>
  </x:si>
  <x:si>
    <x:t xml:space="preserve">ACT-RED-04</x:t>
  </x:si>
  <x:si>
    <x:t xml:space="preserve">ACT-RED-05</x:t>
  </x:si>
  <x:si>
    <x:t xml:space="preserve">ACT-RED-06</x:t>
  </x:si>
  <x:si>
    <x:t xml:space="preserve">ACT-RED-07</x:t>
  </x:si>
  <x:si>
    <x:t xml:space="preserve">海警與海上民兵執法封控</x:t>
  </x:si>
  <x:si>
    <x:t xml:space="preserve">ACT-AMBER-01</x:t>
  </x:si>
  <x:si>
    <x:t xml:space="preserve">提供ISR支援</x:t>
  </x:si>
  <x:si>
    <x:t xml:space="preserve">ACT-AMBER-02</x:t>
  </x:si>
  <x:si>
    <x:t xml:space="preserve">提升後勤準備</x:t>
  </x:si>
  <x:si>
    <x:t xml:space="preserve">ACT-AMBER-03</x:t>
  </x:si>
  <x:si>
    <x:t xml:space="preserve">ACT-AMBER-04</x:t>
  </x:si>
  <x:si>
    <x:t xml:space="preserve">ACT-AMBER-05</x:t>
  </x:si>
  <x:si>
    <x:t xml:space="preserve">ACT-AMBER-06</x:t>
  </x:si>
  <x:si>
    <x:t xml:space="preserve">ACT-AMBER-07</x:t>
  </x:si>
  <x:si>
    <x:t xml:space="preserve">提供衛星與高空通訊支援</x:t>
  </x:si>
  <x:si>
    <x:t xml:space="preserve">ACT-AMBER-08</x:t>
  </x:si>
  <x:si>
    <x:t xml:space="preserve">多國商船護航協調</x:t>
  </x:si>
  <x:si>
    <x:t xml:space="preserve">ACT-AMBER-09</x:t>
  </x:si>
  <x:si>
    <x:t xml:space="preserve">工業補充與供應鏈動員</x:t>
  </x:si>
  <x:si>
    <x:t xml:space="preserve">LLM 供應商、模型與 Endpoint 預設值</x:t>
  </x:si>
  <x:si>
    <x:t xml:space="preserve">provider_id</x:t>
  </x:si>
  <x:si>
    <x:t xml:space="preserve">供應商</x:t>
  </x:si>
  <x:si>
    <x:t xml:space="preserve">預設模型</x:t>
  </x:si>
  <x:si>
    <x:t xml:space="preserve">API Endpoint</x:t>
  </x:si>
  <x:si>
    <x:t xml:space="preserve">模型清單JSON</x:t>
  </x:si>
  <x:si>
    <x:t xml:space="preserve">API Key 保存政策</x:t>
  </x:si>
  <x:si>
    <x:t xml:space="preserve">gemini</x:t>
  </x:si>
  <x:si>
    <x:t xml:space="preserve">Gemini</x:t>
  </x:si>
  <x:si>
    <x:t xml:space="preserve">gemini-3.5-flash</x:t>
  </x:si>
  <x:si>
    <x:t xml:space="preserve">https://generativelanguage.googleapis.com/v1beta</x:t>
  </x:si>
  <x:si>
    <x:t xml:space="preserve">["gemini-3.5-flash","gemini-3.6-flash"]</x:t>
  </x:si>
  <x:si>
    <x:t xml:space="preserve">瀏覽器本機；資料庫不保存</x:t>
  </x:si>
  <x:si>
    <x:t xml:space="preserve">openai</x:t>
  </x:si>
  <x:si>
    <x:t xml:space="preserve">OpenAI</x:t>
  </x:si>
  <x:si>
    <x:t xml:space="preserve">gpt-5.5</x:t>
  </x:si>
  <x:si>
    <x:t xml:space="preserve">https://api.openai.com/v1</x:t>
  </x:si>
  <x:si>
    <x:t xml:space="preserve">["gpt-5.4-mini","gpt-5.5","gpt-5.6"]</x:t>
  </x:si>
  <x:si>
    <x:t xml:space="preserve">claude</x:t>
  </x:si>
  <x:si>
    <x:t xml:space="preserve">Claude</x:t>
  </x:si>
  <x:si>
    <x:t xml:space="preserve">claude-sonnet-4-20250514</x:t>
  </x:si>
  <x:si>
    <x:t xml:space="preserve">https://api.anthropic.com/v1</x:t>
  </x:si>
  <x:si>
    <x:t xml:space="preserve">["claude-sonnet-4-20250514"]</x:t>
  </x:si>
  <x:si>
    <x:t xml:space="preserve">cgu</x:t>
  </x:si>
  <x:si>
    <x:t xml:space="preserve">長庚 CGU LLM API</x:t>
  </x:si>
  <x:si>
    <x:t xml:space="preserve">gpt-5.4-mini</x:t>
  </x:si>
  <x:si>
    <x:t xml:space="preserve">https://air.cgu.edu.tw/cgullmapi/v1</x:t>
  </x:si>
</x:sst>
</file>

<file path=xl/styles.xml><?xml version="1.0" encoding="utf-8"?>
<x:styleSheet xmlns:x="http://schemas.openxmlformats.org/spreadsheetml/2006/main">
  <x:numFmts count="3">
    <x:numFmt numFmtId="176" formatCode="0.0%"/>
    <x:numFmt numFmtId="177" formatCode="0.0"/>
    <x:numFmt numFmtId="200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11"/>
      <x:name val="Carlito"/>
    </x:font>
    <x:font>
      <x:sz val="9"/>
      <x:name val="Wawati TC"/>
    </x:font>
    <x:font>
      <x:i/>
      <x:sz val="10"/>
      <x:color rgb="FF17212B"/>
      <x:name val="Carlito"/>
    </x:font>
    <x:font>
      <x:sz val="9"/>
      <x:color rgb="FF17212B"/>
      <x:name val="Carlito"/>
    </x:font>
    <x:font>
      <x:b/>
      <x:sz val="9"/>
      <x:color rgb="FF17212B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5D7B"/>
      </x:patternFill>
    </x:fill>
    <x:fill>
      <x:patternFill patternType="solid">
        <x:fgColor rgb="FFDDEA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5324B"/>
      </x:patternFill>
    </x:fill>
    <x:fill>
      <x:patternFill patternType="solid">
        <x:fgColor rgb="FF0F6674"/>
      </x:patternFill>
    </x:fill>
    <x:fill>
      <x:patternFill patternType="solid">
        <x:fgColor rgb="FFE8F4E4"/>
      </x:patternFill>
    </x:fill>
    <x:fill>
      <x:patternFill patternType="solid">
        <x:fgColor rgb="FFEAF3F6"/>
      </x:patternFill>
    </x:fill>
    <x:fill>
      <x:patternFill patternType="solid">
        <x:fgColor rgb="FFEAF4E4"/>
      </x:patternFill>
    </x:fill>
    <x:fill>
      <x:patternFill patternType="solid">
        <x:fgColor rgb="FFF6FAF3"/>
      </x:patternFill>
    </x:fill>
    <x:fill>
      <x:patternFill patternType="solid">
        <x:fgColor rgb="FF102F49"/>
      </x:patternFill>
    </x:fill>
    <x:fill>
      <x:patternFill patternType="solid">
        <x:fgColor rgb="FFFFF7D6"/>
      </x:patternFill>
    </x:fill>
    <x:fill>
      <x:patternFill patternType="solid">
        <x:fgColor rgb="FF087F8C"/>
      </x:patternFill>
    </x:fill>
    <x:fill>
      <x:patternFill patternType="solid">
        <x:fgColor rgb="FFEDF7E8"/>
      </x:patternFill>
    </x:fill>
    <x:fill>
      <x:patternFill patternType="solid">
        <x:fgColor rgb="FFEAF3FB"/>
      </x:patternFill>
    </x:fill>
    <x:fill>
      <x:patternFill patternType="solid">
        <x:fgColor rgb="FF102F49"/>
      </x:patternFill>
    </x:fill>
    <x:fill>
      <x:patternFill patternType="solid">
        <x:fgColor rgb="FFFFF7D6"/>
      </x:patternFill>
    </x:fill>
    <x:fill>
      <x:patternFill patternType="solid">
        <x:fgColor rgb="FF087F8C"/>
      </x:patternFill>
    </x:fill>
    <x:fill>
      <x:patternFill patternType="solid">
        <x:fgColor rgb="FFEDF7E8"/>
      </x:patternFill>
    </x:fill>
    <x:fill>
      <x:patternFill patternType="solid">
        <x:fgColor rgb="FFEAF3FB"/>
      </x:patternFill>
    </x:fill>
    <x:fill>
      <x:patternFill patternType="solid">
        <x:fgColor rgb="FF102F49"/>
      </x:patternFill>
    </x:fill>
    <x:fill>
      <x:patternFill patternType="solid">
        <x:fgColor rgb="FFFFF7D6"/>
      </x:patternFill>
    </x:fill>
    <x:fill>
      <x:patternFill patternType="solid">
        <x:fgColor rgb="FF087F8C"/>
      </x:patternFill>
    </x:fill>
    <x:fill>
      <x:patternFill patternType="solid">
        <x:fgColor rgb="FFEDF7E8"/>
      </x:patternFill>
    </x:fill>
    <x:fill>
      <x:patternFill patternType="solid">
        <x:fgColor rgb="FFEAF3FB"/>
      </x:patternFill>
    </x:fill>
  </x:fills>
  <x:borders count="10">
    <x:border/>
    <x:border>
      <x:right style="thin">
        <x:color rgb="FFD9E7D2"/>
      </x:right>
      <x:bottom style="thin">
        <x:color rgb="FFD9E7D2"/>
      </x:bottom>
    </x:border>
    <x:border>
      <x:left style="thin">
        <x:color rgb="FFD9E7D2"/>
      </x:left>
      <x:right style="thin">
        <x:color rgb="FFD9E7D2"/>
      </x:right>
      <x:bottom style="thin">
        <x:color rgb="FFD9E7D2"/>
      </x:bottom>
    </x:border>
    <x:border>
      <x:left style="thin">
        <x:color rgb="FFD9E7D2"/>
      </x:left>
      <x:bottom style="thin">
        <x:color rgb="FFD9E7D2"/>
      </x:bottom>
    </x:border>
    <x:border>
      <x:right style="thin">
        <x:color rgb="FFD9E7D2"/>
      </x:right>
      <x:top style="thin">
        <x:color rgb="FFD9E7D2"/>
      </x:top>
      <x:bottom style="thin">
        <x:color rgb="FFD9E7D2"/>
      </x:bottom>
    </x:border>
    <x:border>
      <x:left style="thin">
        <x:color rgb="FFD9E7D2"/>
      </x:left>
      <x:right style="thin">
        <x:color rgb="FFD9E7D2"/>
      </x:right>
      <x:top style="thin">
        <x:color rgb="FFD9E7D2"/>
      </x:top>
      <x:bottom style="thin">
        <x:color rgb="FFD9E7D2"/>
      </x:bottom>
    </x:border>
    <x:border>
      <x:left style="thin">
        <x:color rgb="FFD9E7D2"/>
      </x:left>
      <x:top style="thin">
        <x:color rgb="FFD9E7D2"/>
      </x:top>
      <x:bottom style="thin">
        <x:color rgb="FFD9E7D2"/>
      </x:bottom>
    </x:border>
    <x:border>
      <x:right style="thin">
        <x:color rgb="FFD9E7D2"/>
      </x:right>
      <x:top style="thin">
        <x:color rgb="FFD9E7D2"/>
      </x:top>
    </x:border>
    <x:border>
      <x:left style="thin">
        <x:color rgb="FFD9E7D2"/>
      </x:left>
      <x:right style="thin">
        <x:color rgb="FFD9E7D2"/>
      </x:right>
      <x:top style="thin">
        <x:color rgb="FFD9E7D2"/>
      </x:top>
    </x:border>
    <x:border>
      <x:left style="thin">
        <x:color rgb="FFD9E7D2"/>
      </x:left>
      <x:top style="thin">
        <x:color rgb="FFD9E7D2"/>
      </x:top>
    </x:border>
  </x:borders>
  <x:cellStyleXfs count="2">
    <x:xf numFmtId="0" fontId="0" fillId="0" borderId="0"/>
    <x:xf numFmtId="0" fontId="6" fillId="0" borderId="0"/>
  </x:cellStyleXfs>
  <x:cellXfs count="146">
    <x:xf numFmtId="0" fontId="0" fillId="0" borderId="0" xfId="0"/>
    <x:xf numFmtId="0" fontId="2" fillId="3" borderId="0" xfId="1" applyFont="1" applyFill="1" applyAlignment="1">
      <x:alignment horizontal="center" vertical="center" wrapText="1"/>
    </x:xf>
    <x:xf numFmtId="0" fontId="3" fillId="4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0" fillId="6" borderId="0" xfId="1" applyFont="1" applyFill="1" applyAlignment="1">
      <x:alignment wrapText="1"/>
    </x:xf>
    <x:xf numFmtId="0" fontId="0" fillId="7" borderId="0" xfId="1" applyFont="1" applyFill="1" applyAlignment="1">
      <x:alignment wrapText="1"/>
    </x:xf>
    <x:xf numFmtId="176" fontId="0" fillId="7" borderId="0" xfId="1" applyNumberFormat="1" applyFont="1" applyFill="1" applyAlignment="1">
      <x:alignment wrapText="1"/>
    </x:xf>
    <x:xf numFmtId="2" fontId="0" fillId="7" borderId="0" xfId="1" applyNumberFormat="1" applyFont="1" applyFill="1" applyAlignment="1">
      <x:alignment wrapText="1"/>
    </x:xf>
    <x:xf numFmtId="177" fontId="0" fillId="0" borderId="0" xfId="1" applyNumberFormat="1" applyFont="1"/>
    <x:xf numFmtId="0" fontId="4" fillId="9" borderId="0" xfId="1" applyFont="1" applyFill="1" applyAlignment="1">
      <x:alignment horizontal="center" vertical="center" wrapText="1"/>
    </x:xf>
    <x:xf numFmtId="0" fontId="5" fillId="10" borderId="0" xfId="1" applyFont="1" applyFill="1" applyAlignment="1">
      <x:alignment vertical="center" wrapText="1"/>
    </x:xf>
    <x:xf numFmtId="0" fontId="5" fillId="11" borderId="0" xfId="1" applyFont="1" applyFill="1" applyAlignment="1">
      <x:alignment vertical="center" wrapText="1"/>
    </x:xf>
    <x:xf numFmtId="0" fontId="2" fillId="9" borderId="0" xfId="1" applyFont="1" applyFill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0" fillId="0" borderId="0" xfId="0"/>
    <x:xf numFmtId="0" fontId="3" fillId="5" borderId="0" xfId="1" applyFont="1" applyFill="1" applyAlignment="1">
      <x:alignment wrapText="1"/>
    </x:xf>
    <x:xf numFmtId="0" fontId="1" fillId="8" borderId="0" xfId="1" applyFont="1" applyFill="1" applyAlignment="1">
      <x:alignment horizontal="left" vertical="center"/>
    </x:xf>
    <x:xf numFmtId="0" fontId="1" fillId="8" borderId="0" xfId="1" applyFont="1" applyFill="1"/>
    <x:xf numFmtId="0" fontId="1" fillId="8" borderId="0" xfId="1" applyFont="1" applyFill="1" applyAlignment="1">
      <x:alignment vertical="center"/>
    </x:xf>
    <x:xf numFmtId="0" fontId="5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0" fillId="12" borderId="2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wrapText="1"/>
    </x:xf>
    <x:xf numFmtId="0" fontId="0" fillId="13" borderId="4" xfId="0" applyNumberFormat="1" applyFont="1" applyFill="1" applyBorder="1"/>
    <x:xf numFmtId="0" fontId="0" fillId="13" borderId="5" xfId="0" applyNumberFormat="1" applyFont="1" applyFill="1" applyBorder="1"/>
    <x:xf numFmtId="0" fontId="0" fillId="13" borderId="5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wrapText="1"/>
    </x:xf>
    <x:xf numFmtId="0" fontId="0" fillId="12" borderId="4" xfId="0" applyNumberFormat="1" applyFont="1" applyFill="1" applyBorder="1"/>
    <x:xf numFmtId="0" fontId="0" fillId="12" borderId="5" xfId="0" applyNumberFormat="1" applyFont="1" applyFill="1" applyBorder="1"/>
    <x:xf numFmtId="0" fontId="0" fillId="12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wrapText="1"/>
    </x:xf>
    <x:xf numFmtId="0" fontId="0" fillId="13" borderId="7" xfId="0" applyNumberFormat="1" applyFont="1" applyFill="1" applyBorder="1"/>
    <x:xf numFmtId="0" fontId="0" fillId="13" borderId="8" xfId="0" applyNumberFormat="1" applyFont="1" applyFill="1" applyBorder="1"/>
    <x:xf numFmtId="0" fontId="0" fillId="13" borderId="8" xfId="0" applyNumberFormat="1" applyFont="1" applyFill="1" applyBorder="1" applyAlignment="1">
      <x:alignment wrapText="1"/>
    </x:xf>
    <x:xf numFmtId="0" fontId="0" fillId="13" borderId="9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9" fillId="17" borderId="0" xfId="0" applyNumberFormat="1" applyFont="1" applyFill="1" applyBorder="1" applyAlignment="1">
      <x:alignment wrapText="1"/>
    </x:xf>
    <x:xf numFmtId="0" fontId="9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vertical="center" wrapText="1"/>
    </x:xf>
    <x:xf numFmtId="200" fontId="9" fillId="17" borderId="0" xfId="0" applyNumberFormat="1" applyFont="1" applyFill="1" applyBorder="1" applyAlignment="1">
      <x:alignment vertical="center" wrapText="1"/>
    </x:xf>
    <x:xf numFmtId="200" fontId="9" fillId="18" borderId="0" xfId="0" applyNumberFormat="1" applyFont="1" applyFill="1" applyBorder="1" applyAlignment="1">
      <x:alignment vertical="center" wrapText="1"/>
    </x:xf>
    <x:xf numFmtId="177" fontId="9" fillId="17" borderId="0" xfId="0" applyNumberFormat="1" applyFont="1" applyFill="1" applyBorder="1" applyAlignment="1">
      <x:alignment vertical="center" wrapText="1"/>
    </x:xf>
    <x:xf numFmtId="177" fontId="9" fillId="18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7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1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17" borderId="0" xfId="0" applyNumberFormat="1" applyFont="1" applyFill="1" applyBorder="1" applyAlignment="1">
      <x:alignment wrapText="1"/>
    </x:xf>
    <x:xf numFmtId="0" fontId="10" fillId="17" borderId="0" xfId="0" applyNumberFormat="1" applyFont="1" applyFill="1" applyBorder="1" applyAlignment="1">
      <x:alignment wrapText="1"/>
    </x:xf>
    <x:xf numFmtId="0" fontId="10" fillId="17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wrapText="1"/>
    </x:xf>
    <x:xf numFmtId="0" fontId="10" fillId="18" borderId="0" xfId="0" applyNumberFormat="1" applyFont="1" applyFill="1" applyBorder="1" applyAlignment="1">
      <x:alignment wrapText="1"/>
    </x:xf>
    <x:xf numFmtId="0" fontId="10" fillId="18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left" vertical="center"/>
    </x:xf>
    <x:xf numFmtId="0" fontId="1" fillId="19" borderId="0" xfId="0" applyNumberFormat="1" applyFont="1" applyFill="1" applyBorder="1" applyAlignment="1">
      <x:alignment vertical="center"/>
    </x:xf>
    <x:xf numFmtId="0" fontId="8" fillId="20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horizontal="center" vertical="center" wrapText="1"/>
    </x:xf>
    <x:xf numFmtId="0" fontId="9" fillId="22" borderId="0" xfId="0" applyNumberFormat="1" applyFont="1" applyFill="1" applyBorder="1" applyAlignment="1">
      <x:alignment vertical="center" wrapText="1"/>
    </x:xf>
    <x:xf numFmtId="0" fontId="9" fillId="23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9" fillId="23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center" wrapText="1"/>
    </x:xf>
    <x:xf numFmtId="200" fontId="9" fillId="22" borderId="0" xfId="0" applyNumberFormat="1" applyFont="1" applyFill="1" applyBorder="1" applyAlignment="1">
      <x:alignment vertical="center" wrapText="1"/>
    </x:xf>
    <x:xf numFmtId="177" fontId="9" fillId="22" borderId="0" xfId="0" applyNumberFormat="1" applyFont="1" applyFill="1" applyBorder="1" applyAlignment="1">
      <x:alignment vertical="center" wrapText="1"/>
    </x:xf>
    <x:xf numFmtId="200" fontId="9" fillId="23" borderId="0" xfId="0" applyNumberFormat="1" applyFont="1" applyFill="1" applyBorder="1" applyAlignment="1">
      <x:alignment vertical="center" wrapText="1"/>
    </x:xf>
    <x:xf numFmtId="177" fontId="9" fillId="23" borderId="0" xfId="0" applyNumberFormat="1" applyFont="1" applyFill="1" applyBorder="1" applyAlignment="1">
      <x:alignment vertical="center" wrapText="1"/>
    </x:xf>
    <x:xf numFmtId="0" fontId="9" fillId="2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22" borderId="0" xfId="0" applyNumberFormat="1" applyFont="1" applyFill="1" applyBorder="1" applyAlignment="1">
      <x:alignment vertical="center" wrapText="1"/>
    </x:xf>
    <x:xf numFmtId="0" fontId="10" fillId="23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horizontal="left" vertical="center"/>
    </x:xf>
    <x:xf numFmtId="0" fontId="1" fillId="24" borderId="0" xfId="0" applyNumberFormat="1" applyFont="1" applyFill="1" applyBorder="1" applyAlignment="1">
      <x:alignment vertical="center"/>
    </x:xf>
    <x:xf numFmtId="0" fontId="8" fillId="25" borderId="0" xfId="0" applyNumberFormat="1" applyFont="1" applyFill="1" applyBorder="1" applyAlignment="1">
      <x:alignment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9" fillId="27" borderId="0" xfId="0" applyNumberFormat="1" applyFont="1" applyFill="1" applyBorder="1" applyAlignment="1">
      <x:alignment vertical="center" wrapText="1"/>
    </x:xf>
    <x:xf numFmtId="0" fontId="9" fillId="28" borderId="0" xfId="0" applyNumberFormat="1" applyFont="1" applyFill="1" applyBorder="1" applyAlignment="1">
      <x:alignment vertical="center" wrapText="1"/>
    </x:xf>
    <x:xf numFmtId="0" fontId="4" fillId="26" borderId="0" xfId="0" applyNumberFormat="1" applyFont="1" applyFill="1" applyBorder="1" applyAlignment="1">
      <x:alignment vertical="center" wrapText="1"/>
    </x:xf>
    <x:xf numFmtId="200" fontId="9" fillId="27" borderId="0" xfId="0" applyNumberFormat="1" applyFont="1" applyFill="1" applyBorder="1" applyAlignment="1">
      <x:alignment vertical="center" wrapText="1"/>
    </x:xf>
    <x:xf numFmtId="177" fontId="9" fillId="27" borderId="0" xfId="0" applyNumberFormat="1" applyFont="1" applyFill="1" applyBorder="1" applyAlignment="1">
      <x:alignment vertical="center" wrapText="1"/>
    </x:xf>
    <x:xf numFmtId="200" fontId="9" fillId="28" borderId="0" xfId="0" applyNumberFormat="1" applyFont="1" applyFill="1" applyBorder="1" applyAlignment="1">
      <x:alignment vertical="center" wrapText="1"/>
    </x:xf>
    <x:xf numFmtId="177" fontId="9" fillId="28" borderId="0" xfId="0" applyNumberFormat="1" applyFont="1" applyFill="1" applyBorder="1" applyAlignment="1">
      <x:alignment vertical="center" wrapText="1"/>
    </x:xf>
    <x:xf numFmtId="0" fontId="9" fillId="2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27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9" fillId="27" borderId="0" xfId="0" applyNumberFormat="1" applyFont="1" applyFill="1" applyBorder="1"/>
    <x:xf numFmtId="0" fontId="9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9" fillId="28" borderId="0" xfId="0" applyNumberFormat="1" applyFont="1" applyFill="1" applyBorder="1" applyAlignment="1">
      <x:alignment wrapText="1"/>
    </x:xf>
  </x:cellXfs>
  <x:cellStyles count="2">
    <x:cellStyle name="Normal" xfId="1"/>
    <x:cellStyle name="一般" xfId="0"/>
  </x:cellStyles>
  <x:dxfs count="1">
    <x:dxf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ba80c58304e8e" /><Relationship Type="http://schemas.openxmlformats.org/officeDocument/2006/relationships/theme" Target="/xl/theme/theme1.xml" Id="R6735d6f5bb4c41b4" /><Relationship Type="http://schemas.microsoft.com/office/2022/11/relationships/FeaturePropertyBag" Target="/xl/featurePropertyBag/featurePropertyBag.xml" Id="R5461fe1f33274a56" /><Relationship Type="http://schemas.openxmlformats.org/officeDocument/2006/relationships/sharedStrings" Target="/xl/sharedStrings.xml" Id="R64b0e24247254f50" /><Relationship Type="http://schemas.openxmlformats.org/officeDocument/2006/relationships/worksheet" Target="/xl/worksheets/sheet1.xml" Id="R036ba2cc1133481e" /><Relationship Type="http://schemas.openxmlformats.org/officeDocument/2006/relationships/worksheet" Target="/xl/worksheets/sheet2.xml" Id="Rf3aff72c941c41dc" /><Relationship Type="http://schemas.openxmlformats.org/officeDocument/2006/relationships/worksheet" Target="/xl/worksheets/sheet3.xml" Id="R8a782c0b2a264d50" /><Relationship Type="http://schemas.openxmlformats.org/officeDocument/2006/relationships/worksheet" Target="/xl/worksheets/sheet4.xml" Id="R3c75efa8282c46eb" /><Relationship Type="http://schemas.openxmlformats.org/officeDocument/2006/relationships/worksheet" Target="/xl/worksheets/sheet5.xml" Id="Rd31a2007c5a44d9b" /><Relationship Type="http://schemas.openxmlformats.org/officeDocument/2006/relationships/worksheet" Target="/xl/worksheets/sheet6.xml" Id="Rc821483aa272468c" /><Relationship Type="http://schemas.openxmlformats.org/officeDocument/2006/relationships/worksheet" Target="/xl/worksheets/sheet7.xml" Id="R0c017f46c5b242de" /><Relationship Type="http://schemas.openxmlformats.org/officeDocument/2006/relationships/worksheet" Target="/xl/worksheets/sheet8.xml" Id="R38323fd93c49435c" /><Relationship Type="http://schemas.openxmlformats.org/officeDocument/2006/relationships/worksheet" Target="/xl/worksheets/sheet9.xml" Id="R060d40b9d6c44687" /><Relationship Type="http://schemas.openxmlformats.org/officeDocument/2006/relationships/worksheet" Target="/xl/worksheets/sheet10.xml" Id="R963abe2351d74050" /><Relationship Type="http://schemas.openxmlformats.org/officeDocument/2006/relationships/worksheet" Target="/xl/worksheets/sheet11.xml" Id="R8c38524379674c62" /><Relationship Type="http://schemas.openxmlformats.org/officeDocument/2006/relationships/worksheet" Target="/xl/worksheets/sheet12.xml" Id="R1e8bb25186e24bda" /><Relationship Type="http://schemas.openxmlformats.org/officeDocument/2006/relationships/worksheet" Target="/xl/worksheets/sheet13.xml" Id="R6b3f1b1630be4e0a" /><Relationship Type="http://schemas.openxmlformats.org/officeDocument/2006/relationships/worksheet" Target="/xl/worksheets/sheet14.xml" Id="Rc9de16ce964c46b1" /><Relationship Type="http://schemas.openxmlformats.org/officeDocument/2006/relationships/worksheet" Target="/xl/worksheets/sheet15.xml" Id="R73ec6ba9da364f26" /><Relationship Type="http://schemas.openxmlformats.org/officeDocument/2006/relationships/worksheet" Target="/xl/worksheets/sheet16.xml" Id="R173662d706c54b46" /><Relationship Type="http://schemas.openxmlformats.org/officeDocument/2006/relationships/worksheet" Target="/xl/worksheets/sheet17.xml" Id="R920b9f39f39b436a" /><Relationship Type="http://schemas.openxmlformats.org/officeDocument/2006/relationships/worksheet" Target="/xl/worksheets/sheet18.xml" Id="Rbdcec513373a4e5b" /><Relationship Type="http://schemas.openxmlformats.org/officeDocument/2006/relationships/worksheet" Target="/xl/worksheets/sheet19.xml" Id="Rbe34fff74ae94133" /><Relationship Type="http://schemas.openxmlformats.org/officeDocument/2006/relationships/worksheet" Target="/xl/worksheets/sheet20.xml" Id="Ra8a0ad0d8ee54936" /><Relationship Type="http://schemas.openxmlformats.org/officeDocument/2006/relationships/worksheet" Target="/xl/worksheets/sheet21.xml" Id="R58b59297c25848dd" /><Relationship Type="http://schemas.openxmlformats.org/officeDocument/2006/relationships/worksheet" Target="/xl/worksheets/sheet22.xml" Id="Rfe0418309a0b4512" /><Relationship Type="http://schemas.openxmlformats.org/officeDocument/2006/relationships/worksheet" Target="/xl/worksheets/sheet23.xml" Id="R8d739b19d7024a65" /><Relationship Type="http://schemas.openxmlformats.org/officeDocument/2006/relationships/worksheet" Target="/xl/worksheets/sheet24.xml" Id="Rab522c50d5a94b68" /><Relationship Type="http://schemas.openxmlformats.org/officeDocument/2006/relationships/worksheet" Target="/xl/worksheets/sheet25.xml" Id="R8fb581d850294e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469db260fe4874" /><Relationship Type="http://schemas.openxmlformats.org/officeDocument/2006/relationships/chart" Target="/xl/drawings/charts/chart2.xml" Id="R83c16124f07e426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各方合成準備指數：前後比較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avg_readiness_before</c:v>
          </c:tx>
          <c:cat>
            <c:strRef>
              <c:f>'16_Dashboard'!$A$11:$A$13</c:f>
              <c:strCache>
                <c:ptCount val="3"/>
                <c:pt idx="0">
                  <c:v>BLUE</c:v>
                </c:pt>
                <c:pt idx="1">
                  <c:v>RED</c:v>
                </c:pt>
                <c:pt idx="2">
                  <c:v>AMBER</c:v>
                </c:pt>
              </c:strCache>
            </c:strRef>
          </c:cat>
          <c:val>
            <c:numRef>
              <c:f>'16_Dashboard'!$B$11:$B$13</c:f>
              <c:numCache>
                <c:formatCode>General</c:formatCode>
                <c:ptCount val="3"/>
                <c:pt idx="0">
                  <c:v>68.4</c:v>
                </c:pt>
                <c:pt idx="1">
                  <c:v>69.8</c:v>
                </c:pt>
                <c:pt idx="2">
                  <c:v>68</c:v>
                </c:pt>
              </c:numCache>
            </c:numRef>
          </c:val>
        </c:ser>
        <c:ser>
          <c:idx val="1"/>
          <c:order val="1"/>
          <c:tx>
            <c:v>avg_readiness_after</c:v>
          </c:tx>
          <c:cat>
            <c:strRef>
              <c:f>'16_Dashboard'!$A$11:$A$13</c:f>
              <c:strCache>
                <c:ptCount val="3"/>
                <c:pt idx="0">
                  <c:v>BLUE</c:v>
                </c:pt>
                <c:pt idx="1">
                  <c:v>RED</c:v>
                </c:pt>
                <c:pt idx="2">
                  <c:v>AMBER</c:v>
                </c:pt>
              </c:strCache>
            </c:strRef>
          </c:cat>
          <c:val>
            <c:numRef>
              <c:f>'16_Dashboard'!$C$11:$C$13</c:f>
              <c:numCache>
                <c:formatCode>General</c:formatCode>
                <c:ptCount val="3"/>
                <c:pt idx="0">
                  <c:v>64.8</c:v>
                </c:pt>
                <c:pt idx="1">
                  <c:v>65.3</c:v>
                </c:pt>
                <c:pt idx="2">
                  <c:v>66.6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回合別合成準備指數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BLUE</c:v>
          </c:tx>
          <c:marker>
            <c:symbol val="none"/>
          </c:marker>
          <c:cat>
            <c:numRef>
              <c:f>'16_Dashboard'!$H$11:$H$22</c:f>
              <c:numCache>
                <c:formatCode>0.0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'16_Dashboard'!$I$11:$I$22</c:f>
              <c:numCache>
                <c:formatCode>0.0</c:formatCode>
                <c:ptCount val="12"/>
                <c:pt idx="0">
                  <c:v>76</c:v>
                </c:pt>
                <c:pt idx="1">
                  <c:v>76</c:v>
                </c:pt>
                <c:pt idx="2">
                  <c:v>76</c:v>
                </c:pt>
                <c:pt idx="3">
                  <c:v>76</c:v>
                </c:pt>
                <c:pt idx="4">
                  <c:v>76</c:v>
                </c:pt>
                <c:pt idx="5">
                  <c:v>76</c:v>
                </c:pt>
                <c:pt idx="6">
                  <c:v>75.6</c:v>
                </c:pt>
                <c:pt idx="7">
                  <c:v>75.2</c:v>
                </c:pt>
                <c:pt idx="8">
                  <c:v>74.4</c:v>
                </c:pt>
                <c:pt idx="9">
                  <c:v>74.4</c:v>
                </c:pt>
                <c:pt idx="10">
                  <c:v>74.4</c:v>
                </c:pt>
                <c:pt idx="11">
                  <c:v>74.4</c:v>
                </c:pt>
              </c:numCache>
            </c:numRef>
          </c:val>
          <c:smooth val="0"/>
        </c:ser>
        <c:ser>
          <c:idx val="1"/>
          <c:order val="1"/>
          <c:tx>
            <c:v>RED</c:v>
          </c:tx>
          <c:marker>
            <c:symbol val="none"/>
          </c:marker>
          <c:cat>
            <c:numRef>
              <c:f>'16_Dashboard'!$H$11:$H$22</c:f>
              <c:numCache>
                <c:formatCode>0.0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'16_Dashboard'!$J$11:$J$22</c:f>
              <c:numCache>
                <c:formatCode>0.0</c:formatCode>
                <c:ptCount val="12"/>
                <c:pt idx="0">
                  <c:v>80.7</c:v>
                </c:pt>
                <c:pt idx="1">
                  <c:v>79.7</c:v>
                </c:pt>
                <c:pt idx="2">
                  <c:v>79.4</c:v>
                </c:pt>
                <c:pt idx="3">
                  <c:v>78.6</c:v>
                </c:pt>
                <c:pt idx="4">
                  <c:v>76.4</c:v>
                </c:pt>
                <c:pt idx="5">
                  <c:v>74.3</c:v>
                </c:pt>
                <c:pt idx="6">
                  <c:v>74.3</c:v>
                </c:pt>
                <c:pt idx="7">
                  <c:v>72.7</c:v>
                </c:pt>
                <c:pt idx="8">
                  <c:v>71.3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</c:numCache>
            </c:numRef>
          </c:val>
          <c:smooth val="0"/>
        </c:ser>
        <c:ser>
          <c:idx val="2"/>
          <c:order val="2"/>
          <c:tx>
            <c:v>AMBER</c:v>
          </c:tx>
          <c:marker>
            <c:symbol val="none"/>
          </c:marker>
          <c:cat>
            <c:numRef>
              <c:f>'16_Dashboard'!$H$11:$H$22</c:f>
              <c:numCache>
                <c:formatCode>0.0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'16_Dashboard'!$K$11:$K$22</c:f>
              <c:numCache>
                <c:formatCode>0.0</c:formatCode>
                <c:ptCount val="12"/>
                <c:pt idx="0">
                  <c:v>85.5</c:v>
                </c:pt>
                <c:pt idx="1">
                  <c:v>86.8</c:v>
                </c:pt>
                <c:pt idx="2">
                  <c:v>86.8</c:v>
                </c:pt>
                <c:pt idx="3">
                  <c:v>86.8</c:v>
                </c:pt>
                <c:pt idx="4">
                  <c:v>86.8</c:v>
                </c:pt>
                <c:pt idx="5">
                  <c:v>86.8</c:v>
                </c:pt>
                <c:pt idx="6">
                  <c:v>86.8</c:v>
                </c:pt>
                <c:pt idx="7">
                  <c:v>86.8</c:v>
                </c:pt>
                <c:pt idx="8">
                  <c:v>86.8</c:v>
                </c:pt>
                <c:pt idx="9">
                  <c:v>86.8</c:v>
                </c:pt>
                <c:pt idx="10">
                  <c:v>86.8</c:v>
                </c:pt>
                <c:pt idx="11">
                  <c:v>86.8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469db260fe4874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c16124f07e426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4" name="tblReadmeV3" displayName="tblReadmeV3" ref="A3:B15" headerRowCount="1" totalsRowCount="0" totalsRowShown="0">
  <x:tableColumns count="2">
    <x:tableColumn id="1" name="項目"/>
    <x:tableColumn id="2" name="內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0" name="tblPublicSourcesV3" displayName="tblPublicSourcesV3" ref="A3:M44" headerRowCount="1" totalsRowCount="0" totalsRowShown="0">
  <x:tableColumns count="13">
    <x:tableColumn id="1" name="source_id"/>
    <x:tableColumn id="2" name="資料庫/來源 (name)"/>
    <x:tableColumn id="3" name="類別 (category)"/>
    <x:tableColumn id="4" name="發布者 (publisher)"/>
    <x:tableColumn id="5" name="存取 (access_type)"/>
    <x:tableColumn id="6" name="格式 (format)"/>
    <x:tableColumn id="7" name="可用欄位/內容 (available_fields)"/>
    <x:tableColumn id="8" name="授權 (license)"/>
    <x:tableColumn id="9" name="更新 (update_frequency)"/>
    <x:tableColumn id="10" name="建議用途 (suggested_use)"/>
    <x:tableColumn id="11" name="主要限制 (limitations)"/>
    <x:tableColumn id="12" name="URL"/>
    <x:tableColumn id="13" name="查核日期 (checked_date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ublicActivityTable" displayName="PublicActivityTable" ref="A3:G8">
  <x:tableColumns count="7">
    <x:tableColumn id="1" name="report_date"/>
    <x:tableColumn id="2" name="PLA_aircraft"/>
    <x:tableColumn id="3" name="PLAN_ships"/>
    <x:tableColumn id="4" name="official_ships"/>
    <x:tableColumn id="5" name="aircraft_cross_or_enter"/>
    <x:tableColumn id="6" name="摘要"/>
    <x:tableColumn id="7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cenarioTable" displayName="ScenarioTable" ref="A3:L4">
  <x:tableColumns count="12">
    <x:tableColumn id="1" name="scenario_id"/>
    <x:tableColumn id="2" name="scenario_name"/>
    <x:tableColumn id="3" name="data_class"/>
    <x:tableColumn id="4" name="level"/>
    <x:tableColumn id="5" name="turns"/>
    <x:tableColumn id="6" name="hours_per_turn"/>
    <x:tableColumn id="7" name="time_range"/>
    <x:tableColumn id="8" name="blue_actor"/>
    <x:tableColumn id="9" name="red_actor"/>
    <x:tableColumn id="10" name="amber_actor"/>
    <x:tableColumn id="11" name="learning_objectives"/>
    <x:tableColumn id="12" name="safety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ctorsTable" displayName="ActorsTable" ref="A3:F7">
  <x:tableColumns count="6">
    <x:tableColumn id="1" name="actor_id"/>
    <x:tableColumn id="2" name="actor_name"/>
    <x:tableColumn id="3" name="role"/>
    <x:tableColumn id="4" name="primary_objective"/>
    <x:tableColumn id="5" name="constraints"/>
    <x:tableColumn id="6" name="class_assign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ZonesTable" displayName="ZonesTable" ref="A3:H11">
  <x:tableColumns count="8">
    <x:tableColumn id="1" name="zone_id"/>
    <x:tableColumn id="2" name="zone_name"/>
    <x:tableColumn id="3" name="domain"/>
    <x:tableColumn id="4" name="distance_band"/>
    <x:tableColumn id="5" name="activity_pressure"/>
    <x:tableColumn id="6" name="civilian_density"/>
    <x:tableColumn id="7" name="maneuver_space"/>
    <x:tableColumn id="8" name="teaching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ForcePackagesTable" displayName="ForcePackagesTable" ref="A3:L23">
  <x:tableColumns count="12">
    <x:tableColumn id="1" name="package_id"/>
    <x:tableColumn id="2" name="actor_id"/>
    <x:tableColumn id="3" name="package_name"/>
    <x:tableColumn id="4" name="domain"/>
    <x:tableColumn id="5" name="start_zone"/>
    <x:tableColumn id="6" name="readiness"/>
    <x:tableColumn id="7" name="combat_effect"/>
    <x:tableColumn id="8" name="survivability"/>
    <x:tableColumn id="9" name="sustainment"/>
    <x:tableColumn id="10" name="command_quality"/>
    <x:tableColumn id="11" name="priority"/>
    <x:tableColumn id="12" name="data_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CapabilitiesTable" displayName="CapabilitiesTable" ref="A3:L18">
  <x:tableColumns count="12">
    <x:tableColumn id="1" name="capability_id"/>
    <x:tableColumn id="2" name="capability_name"/>
    <x:tableColumn id="3" name="actor_id"/>
    <x:tableColumn id="4" name="domain"/>
    <x:tableColumn id="5" name="role"/>
    <x:tableColumn id="6" name="sensor_index"/>
    <x:tableColumn id="7" name="reach_index"/>
    <x:tableColumn id="8" name="mobility_index"/>
    <x:tableColumn id="9" name="survivability_index"/>
    <x:tableColumn id="10" name="sustainment_index"/>
    <x:tableColumn id="11" name="cost_index"/>
    <x:tableColumn id="12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WeatherTable" displayName="WeatherTable" ref="A3:I99">
  <x:tableColumns count="9">
    <x:tableColumn id="1" name="turn"/>
    <x:tableColumn id="2" name="hour_from_start"/>
    <x:tableColumn id="3" name="zone_id"/>
    <x:tableColumn id="4" name="sea_state_1_5"/>
    <x:tableColumn id="5" name="visibility_1_5"/>
    <x:tableColumn id="6" name="wind_kts"/>
    <x:tableColumn id="7" name="precip_probability_pct"/>
    <x:tableColumn id="8" name="scenario_note"/>
    <x:tableColumn id="9" name="data_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IntelTable" displayName="IntelTable" ref="A3:L33">
  <x:tableColumns count="12">
    <x:tableColumn id="1" name="report_id"/>
    <x:tableColumn id="2" name="turn"/>
    <x:tableColumn id="3" name="recipient_actor"/>
    <x:tableColumn id="4" name="zone_id"/>
    <x:tableColumn id="5" name="report_type"/>
    <x:tableColumn id="6" name="report_text"/>
    <x:tableColumn id="7" name="source_reliability"/>
    <x:tableColumn id="8" name="confidence_pct"/>
    <x:tableColumn id="9" name="assessed_level"/>
    <x:tableColumn id="10" name="teacher_truth_level"/>
    <x:tableColumn id="11" name="visibility"/>
    <x:tableColumn id="12" name="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EventsTable" displayName="EventsTable" ref="A3:M15">
  <x:tableColumns count="13">
    <x:tableColumn id="1" name="event_id"/>
    <x:tableColumn id="2" name="trigger_turn"/>
    <x:tableColumn id="3" name="event_name"/>
    <x:tableColumn id="4" name="category"/>
    <x:tableColumn id="5" name="zone_id"/>
    <x:tableColumn id="6" name="affected_actor"/>
    <x:tableColumn id="7" name="description"/>
    <x:tableColumn id="8" name="readiness_delta"/>
    <x:tableColumn id="9" name="mobility_delta"/>
    <x:tableColumn id="10" name="sustainment_delta"/>
    <x:tableColumn id="11" name="command_delta"/>
    <x:tableColumn id="12" name="civilian_risk_delta"/>
    <x:tableColumn id="13" name="trigger_typ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OrdersTable" displayName="OrdersTable" ref="A3:J39">
  <x:tableColumns count="10">
    <x:tableColumn id="1" name="order_id"/>
    <x:tableColumn id="2" name="turn"/>
    <x:tableColumn id="3" name="actor_id"/>
    <x:tableColumn id="4" name="zone_id"/>
    <x:tableColumn id="5" name="action"/>
    <x:tableColumn id="6" name="resource_points"/>
    <x:tableColumn id="7" name="risk_level_1_5"/>
    <x:tableColumn id="8" name="rationale"/>
    <x:tableColumn id="9" name="status"/>
    <x:tableColumn id="10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EngagementsTable" displayName="EngagementsTable" ref="A3:Q27">
  <x:tableColumns count="17">
    <x:tableColumn id="1" name="engagement_id"/>
    <x:tableColumn id="2" name="turn"/>
    <x:tableColumn id="3" name="attacker"/>
    <x:tableColumn id="4" name="defender"/>
    <x:tableColumn id="5" name="zone_id"/>
    <x:tableColumn id="6" name="incoming_targets"/>
    <x:tableColumn id="7" name="interceptor_shots"/>
    <x:tableColumn id="8" name="base_p"/>
    <x:tableColumn id="9" name="detection_quality"/>
    <x:tableColumn id="10" name="readiness"/>
    <x:tableColumn id="11" name="sea_state"/>
    <x:tableColumn id="12" name="jamming_level"/>
    <x:tableColumn id="13" name="adjusted_p"/>
    <x:tableColumn id="14" name="at_least_one_success_p"/>
    <x:tableColumn id="15" name="adjudicated_outcome"/>
    <x:tableColumn id="16" name="damage_severity"/>
    <x:tableColumn id="17" name="safety_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AttritionTable" displayName="AttritionTable" ref="A3:M33">
  <x:tableColumns count="13">
    <x:tableColumn id="1" name="attrition_id"/>
    <x:tableColumn id="2" name="turn"/>
    <x:tableColumn id="3" name="package_id"/>
    <x:tableColumn id="4" name="actor_id"/>
    <x:tableColumn id="5" name="cause"/>
    <x:tableColumn id="6" name="readiness_before"/>
    <x:tableColumn id="7" name="readiness_loss"/>
    <x:tableColumn id="8" name="repair_gain"/>
    <x:tableColumn id="9" name="readiness_after"/>
    <x:tableColumn id="10" name="ammo_change_index"/>
    <x:tableColumn id="11" name="fuel_change_index"/>
    <x:tableColumn id="12" name="damage_level"/>
    <x:tableColumn id="13" name="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InterceptLabTable" displayName="InterceptLabTable" ref="A3:M9">
  <x:tableColumns count="13">
    <x:tableColumn id="1" name="case_id"/>
    <x:tableColumn id="2" name="case_name"/>
    <x:tableColumn id="3" name="incoming_targets"/>
    <x:tableColumn id="4" name="interceptor_shots"/>
    <x:tableColumn id="5" name="base_p"/>
    <x:tableColumn id="6" name="detection_quality"/>
    <x:tableColumn id="7" name="readiness"/>
    <x:tableColumn id="8" name="sea_state"/>
    <x:tableColumn id="9" name="jamming_level"/>
    <x:tableColumn id="10" name="adjusted_single_attempt_p"/>
    <x:tableColumn id="11" name="at_least_one_success_p"/>
    <x:tableColumn id="12" name="expected_residual_targets"/>
    <x:tableColumn id="13" name="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36" name="tblDataDictionaryV3" displayName="tblDataDictionaryV3" ref="A3:F48" headerRowCount="1" totalsRowCount="0" totalsRowShown="0">
  <x:tableColumns count="6">
    <x:tableColumn id="1" name="table_name"/>
    <x:tableColumn id="2" name="field_name"/>
    <x:tableColumn id="3" name="data_type"/>
    <x:tableColumn id="4" name="allowed_or_formula"/>
    <x:tableColumn id="5" name="description"/>
    <x:tableColumn id="6" name="data_clas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35" name="tblSettingsV3" displayName="tblSettingsV3" ref="A3:N79" headerRowCount="1" totalsRowCount="0" totalsRowShown="0">
  <x:tableColumns count="14">
    <x:tableColumn id="1" name="setting_id"/>
    <x:tableColumn id="2" name="section"/>
    <x:tableColumn id="3" name="label"/>
    <x:tableColumn id="4" name="control_type"/>
    <x:tableColumn id="5" name="default_value"/>
    <x:tableColumn id="6" name="min_value"/>
    <x:tableColumn id="7" name="max_value"/>
    <x:tableColumn id="8" name="step_value"/>
    <x:tableColumn id="9" name="option_values_json"/>
    <x:tableColumn id="10" name="option_labels_json"/>
    <x:tableColumn id="11" name="disabled_by_default"/>
    <x:tableColumn id="12" name="sensitive"/>
    <x:tableColumn id="13" name="source_file"/>
    <x:tableColumn id="14" name="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31" name="tblNamedResources" displayName="tblNamedResources" ref="A3:U36" headerRowCount="1" totalsRowCount="0" totalsRowShown="0">
  <x:tableColumns count="21">
    <x:tableColumn id="1" name="resource_id"/>
    <x:tableColumn id="2" name="actor_id"/>
    <x:tableColumn id="3" name="equipment_name"/>
    <x:tableColumn id="4" name="category_key"/>
    <x:tableColumn id="5" name="category_name"/>
    <x:tableColumn id="6" name="game_stock"/>
    <x:tableColumn id="7" name="availability_pct"/>
    <x:tableColumn id="8" name="reserve_pct"/>
    <x:tableColumn id="9" name="consumption_per_action"/>
    <x:tableColumn id="10" name="recovery_per_turn"/>
    <x:tableColumn id="11" name="replenishment"/>
    <x:tableColumn id="12" name="delay_turns"/>
    <x:tableColumn id="13" name="reliability_pct"/>
    <x:tableColumn id="14" name="usable_points"/>
    <x:tableColumn id="15" name="reserve_points"/>
    <x:tableColumn id="16" name="committable_points"/>
    <x:tableColumn id="17" name="endurance_turns"/>
    <x:tableColumn id="18" name="abstract_score"/>
    <x:tableColumn id="19" name="narrative_role"/>
    <x:tableColumn id="20" name="source_ids"/>
    <x:tableColumn id="21" name="data_clas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32" name="tblModelConfig" displayName="tblModelConfig" ref="A3:H23" headerRowCount="1" totalsRowCount="0" totalsRowShown="0">
  <x:tableColumns count="8">
    <x:tableColumn id="1" name="config_key"/>
    <x:tableColumn id="2" name="section"/>
    <x:tableColumn id="3" name="label"/>
    <x:tableColumn id="4" name="current_value"/>
    <x:tableColumn id="5" name="unit_or_options"/>
    <x:tableColumn id="6" name="source_file"/>
    <x:tableColumn id="7" name="runtime_effect"/>
    <x:tableColumn id="8" name="data_clas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3" name="tblProjectFiles" displayName="tblProjectFiles" ref="A3:D15" headerRowCount="1" totalsRowCount="0" totalsRowShown="0">
  <x:tableColumns count="4">
    <x:tableColumn id="1" name="path"/>
    <x:tableColumn id="2" name="role"/>
    <x:tableColumn id="3" name="contents"/>
    <x:tableColumn id="4" name="auth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accf6ff96a44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ae3797f2c9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8c95a67a9a4d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509b26a7c44e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4a8059fd1943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23ee1f010049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9a690039bb4c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966a763a4e84c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553c0aa2ac747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3098d0793c84a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5fd0ed5297549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76853bb021947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aa7a8063b45419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aac87cf8ed54ad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63ce59496384ea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dff65904fe246a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3e67ea022cee474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40db44f27ad7453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8.xml" Id="Rc14f4bf7eb594ec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0482dbea74054da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000a95ad5c754884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4" hidden="0" customWidth="1"/>
    <x:col min="2" max="2" width="110" hidden="0" customWidth="1"/>
  </x:cols>
  <x:sheetData>
    <x:row r="1" ht="28" customHeight="1">
      <x:c r="A1" s="117" t="str">
        <x:v>台海兵棋教學資料庫｜版本 3.0</x:v>
      </x:c>
      <x:c r="B1" s="118"/>
      <x:c r="C1" s="14"/>
      <x:c r="D1" s="14"/>
      <x:c r="E1" s="14"/>
      <x:c r="F1" s="14"/>
      <x:c r="G1" s="14"/>
      <x:c r="H1" s="14"/>
    </x:row>
    <x:row r="2" ht="32" customHeight="1">
      <x:c r="A2" s="119" t="str">
        <x:v>依 2026-07-28 現行網頁組態同步；教育用合成資料，不含真實作戰參數。</x:v>
      </x:c>
      <x:c r="B2" s="119"/>
    </x:row>
    <x:row r="3" ht="31" customHeight="1">
      <x:c r="A3" s="120" t="str">
        <x:v>項目</x:v>
      </x:c>
      <x:c r="B3" s="120" t="str">
        <x:v>內容</x:v>
      </x:c>
    </x:row>
    <x:row r="4" ht="40" customHeight="1">
      <x:c r="A4" s="130" t="str">
        <x:v>版本</x:v>
      </x:c>
      <x:c r="B4" s="121" t="str">
        <x:v>3.0-NAMED-RESOURCES；2026-07-28</x:v>
      </x:c>
    </x:row>
    <x:row r="5" ht="40" customHeight="1">
      <x:c r="A5" s="131" t="str">
        <x:v>定位</x:v>
      </x:c>
      <x:c r="B5" s="122" t="str">
        <x:v>教育研究用合成台海危機兵棋資料包，含 25 張工作表。</x:v>
      </x:c>
    </x:row>
    <x:row r="6" ht="40" customHeight="1">
      <x:c r="A6" s="130" t="str">
        <x:v>現行執行來源</x:v>
      </x:c>
      <x:c r="B6" s="121" t="str">
        <x:v>index.html、app.js、styles.css、data/demo-data.js；Excel 是可攜鏡像、公式與欄位字典。</x:v>
      </x:c>
    </x:row>
    <x:row r="7" ht="40" customHeight="1">
      <x:c r="A7" s="131" t="str">
        <x:v>具名資源</x:v>
      </x:c>
      <x:c r="B7" s="122" t="str">
        <x:v>22_Named_Resources 收錄藍、紅、琥珀三方共 33 項公開名稱教學資源。</x:v>
      </x:c>
    </x:row>
    <x:row r="8" ht="40" customHeight="1">
      <x:c r="A8" s="130" t="str">
        <x:v>安全邊界</x:v>
      </x:c>
      <x:c r="B8" s="121" t="str">
        <x:v>名稱只作敘事標籤；所有庫存、可用率、可靠度、消耗、恢復、補充、延遲與計分均為合成值。</x:v>
      </x:c>
    </x:row>
    <x:row r="9" ht="40" customHeight="1">
      <x:c r="A9" s="131" t="str">
        <x:v>禁止解讀</x:v>
      </x:c>
      <x:c r="B9" s="122" t="str">
        <x:v>不得視為真實庫存、部署、射程、效果、命中率、目標、交戰程序或作戰建議。</x:v>
      </x:c>
    </x:row>
    <x:row r="10" ht="40" customHeight="1">
      <x:c r="A10" s="130" t="str">
        <x:v>資源公式</x:v>
      </x:c>
      <x:c r="B10" s="121" t="str">
        <x:v>usable＝stock×availability×reliability；committable＝max(0, usable−reserve)；score 為合成教學分數。</x:v>
      </x:c>
    </x:row>
    <x:row r="11" ht="40" customHeight="1">
      <x:c r="A11" s="131" t="str">
        <x:v>回合與 LLM</x:v>
      </x:c>
      <x:c r="B11" s="122" t="str">
        <x:v>可依消耗與剩餘資源產生次回合敘事；敏感模式只允許匿名化彙整，API 金鑰不寫入工作簿。</x:v>
      </x:c>
    </x:row>
    <x:row r="12" ht="40" customHeight="1">
      <x:c r="A12" s="121" t="str">
        <x:v>動畫</x:v>
      </x:c>
      <x:c r="B12" s="121" t="str">
        <x:v>三方示意動畫強制啟用；可隱藏、暫停、重播、調速、全螢幕；重大衝突有外框閃爍。</x:v>
      </x:c>
    </x:row>
    <x:row r="13" ht="40" customHeight="1">
      <x:c r="A13" s="131" t="str">
        <x:v>參考資料</x:v>
      </x:c>
      <x:c r="B13" s="122" t="str">
        <x:v>01_Public_Sources 收錄 41 筆公開來源；24_Project_Files 列出本地文件與程式來源。</x:v>
      </x:c>
      <x:c r="C13" s="14"/>
      <x:c r="D13" s="14"/>
      <x:c r="E13" s="14"/>
      <x:c r="F13" s="14"/>
      <x:c r="G13" s="14"/>
      <x:c r="H13" s="14"/>
    </x:row>
    <x:row r="14" ht="40" customHeight="1">
      <x:c r="A14" s="121" t="str">
        <x:v>已修正</x:v>
      </x:c>
      <x:c r="B14" s="121" t="str">
        <x:v>17_Scenario_Templates Q–W 標題錯位與 16_Dashboard 舊版 KPI 已校正。</x:v>
      </x:c>
    </x:row>
    <x:row r="15" ht="40" customHeight="1">
      <x:c r="A15" s="122" t="str">
        <x:v>更新原則</x:v>
      </x:c>
      <x:c r="B15" s="122" t="str">
        <x:v>修改執行組態後，應同步更新 Excel、data/demo-data.js、HTML 欄位說明與必要文件。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faccf6ff96a446c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2" hidden="0" customWidth="1"/>
    <x:col min="2" max="2" width="28" hidden="0" customWidth="1"/>
    <x:col min="3" max="3" width="18" hidden="0" customWidth="1"/>
    <x:col min="4" max="4" width="24" hidden="0" customWidth="1"/>
    <x:col min="5" max="6" width="14" customWidth="1"/>
    <x:col min="7" max="7" width="36" hidden="0" customWidth="1"/>
    <x:col min="8" max="8" width="22" hidden="0" customWidth="1"/>
    <x:col min="9" max="9" width="14" hidden="0" customWidth="1"/>
    <x:col min="10" max="10" width="34" hidden="0" customWidth="1"/>
    <x:col min="11" max="12" width="45" customWidth="1"/>
    <x:col min="13" max="13" width="14" hidden="0" customWidth="1"/>
    <x:col min="5" max="5" width="14" hidden="0" customWidth="1"/>
    <x:col min="6" max="6" width="13" hidden="0" customWidth="1"/>
    <x:col min="11" max="11" width="38" hidden="0" customWidth="1"/>
    <x:col min="12" max="12" width="58" hidden="0" customWidth="1"/>
  </x:cols>
  <x:sheetData>
    <x:row r="1" ht="28" customHeight="1">
      <x:c r="A1" s="117" t="str">
        <x:v>公開資料、研究文獻、地圖與具名資源參考索引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</x:row>
    <x:row r="2" ht="32" customHeight="1">
      <x:c r="A2" s="119" t="str">
        <x:v>共 41 筆。裝備名稱僅作教學敘事標籤；所有數值均為合成遊戲平衡值，不由外部來源推導。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</x:row>
    <x:row r="3" ht="31" customHeight="1">
      <x:c r="A3" s="120" t="str">
        <x:v>source_id</x:v>
      </x:c>
      <x:c r="B3" s="120" t="str">
        <x:v>資料庫/來源 (name)</x:v>
      </x:c>
      <x:c r="C3" s="120" t="str">
        <x:v>類別 (category)</x:v>
      </x:c>
      <x:c r="D3" s="120" t="str">
        <x:v>發布者 (publisher)</x:v>
      </x:c>
      <x:c r="E3" s="120" t="str">
        <x:v>存取 (access_type)</x:v>
      </x:c>
      <x:c r="F3" s="120" t="str">
        <x:v>格式 (format)</x:v>
      </x:c>
      <x:c r="G3" s="120" t="str">
        <x:v>可用欄位/內容 (available_fields)</x:v>
      </x:c>
      <x:c r="H3" s="120" t="str">
        <x:v>授權 (license)</x:v>
      </x:c>
      <x:c r="I3" s="120" t="str">
        <x:v>更新 (update_frequency)</x:v>
      </x:c>
      <x:c r="J3" s="120" t="str">
        <x:v>建議用途 (suggested_use)</x:v>
      </x:c>
      <x:c r="K3" s="120" t="str">
        <x:v>主要限制 (limitations)</x:v>
      </x:c>
      <x:c r="L3" s="120" t="str">
        <x:v>URL</x:v>
      </x:c>
      <x:c r="M3" s="120" t="str">
        <x:v>查核日期 (checked_date)</x:v>
      </x:c>
    </x:row>
    <x:row r="4" ht="40" customHeight="1">
      <x:c r="A4" s="121" t="str">
        <x:v>SRC-001</x:v>
      </x:c>
      <x:c r="B4" s="121" t="str">
        <x:v>中共解放軍臺海周邊海、空域動態</x:v>
      </x:c>
      <x:c r="C4" s="121" t="str">
        <x:v>軍事活動/事件</x:v>
      </x:c>
      <x:c r="D4" s="121" t="str">
        <x:v>中華民國政府資料開放平臺、國防部</x:v>
      </x:c>
      <x:c r="E4" s="121" t="str">
        <x:v>官方公開</x:v>
      </x:c>
      <x:c r="F4" s="121" t="str">
        <x:v>CSV/網頁</x:v>
      </x:c>
      <x:c r="G4" s="121" t="str">
        <x:v>公告單位、內容簡介、公告URL、更新日期；每日活動詳情需沿公告連結取得</x:v>
      </x:c>
      <x:c r="H4" s="121" t="str">
        <x:v>政府資料開放授權條款第1版</x:v>
      </x:c>
      <x:c r="I4" s="121" t="str">
        <x:v>不定期/近每日</x:v>
      </x:c>
      <x:c r="J4" s="121" t="str">
        <x:v>建立公開事件時間軸、活動強度基線</x:v>
      </x:c>
      <x:c r="K4" s="121" t="str">
        <x:v>公開資料多為公告與示意圖，並非完整軌跡或作戰資料</x:v>
      </x:c>
      <x:c r="L4" s="121" t="str">
        <x:v>https://data.gov.tw/dataset/138118</x:v>
      </x:c>
      <x:c r="M4" s="121" t="str">
        <x:v>2026-07-27</x:v>
      </x:c>
    </x:row>
    <x:row r="5" ht="40" customHeight="1">
      <x:c r="A5" s="122" t="str">
        <x:v>SRC-002</x:v>
      </x:c>
      <x:c r="B5" s="122" t="str">
        <x:v>PLA Activities List</x:v>
      </x:c>
      <x:c r="C5" s="122" t="str">
        <x:v>軍事活動/事件</x:v>
      </x:c>
      <x:c r="D5" s="122" t="str">
        <x:v>中華民國國防部</x:v>
      </x:c>
      <x:c r="E5" s="122" t="str">
        <x:v>官方公開</x:v>
      </x:c>
      <x:c r="F5" s="122" t="str">
        <x:v>網頁</x:v>
      </x:c>
      <x:c r="G5" s="122" t="str">
        <x:v>每日偵獲軍機、軍艦、公務船數量及部分區域描述</x:v>
      </x:c>
      <x:c r="H5" s="122" t="str">
        <x:v>網站使用條款</x:v>
      </x:c>
      <x:c r="I5" s="122" t="str">
        <x:v>每日</x:v>
      </x:c>
      <x:c r="J5" s="122" t="str">
        <x:v>事件資料、趨勢統計、模擬情境起始資料</x:v>
      </x:c>
      <x:c r="K5" s="122" t="str">
        <x:v>部分內容為圖片，需自行結構化</x:v>
      </x:c>
      <x:c r="L5" s="122" t="str">
        <x:v>https://www.mnd.gov.tw/en/news/PlaactList</x:v>
      </x:c>
      <x:c r="M5" s="122" t="str">
        <x:v>2026-07-27</x:v>
      </x:c>
    </x:row>
    <x:row r="6" ht="40" customHeight="1">
      <x:c r="A6" s="121" t="str">
        <x:v>SRC-003</x:v>
      </x:c>
      <x:c r="B6" s="121" t="str">
        <x:v>Taiwan ADIZ Violations</x:v>
      </x:c>
      <x:c r="C6" s="121" t="str">
        <x:v>軍事活動/事件</x:v>
      </x:c>
      <x:c r="D6" s="121" t="str">
        <x:v>CSIS ChinaPower</x:v>
      </x:c>
      <x:c r="E6" s="121" t="str">
        <x:v>智庫公開</x:v>
      </x:c>
      <x:c r="F6" s="121" t="str">
        <x:v>Google Sheet/網頁</x:v>
      </x:c>
      <x:c r="G6" s="121" t="str">
        <x:v>中國軍機進入臺灣ADIZ及其他活動欄位</x:v>
      </x:c>
      <x:c r="H6" s="121" t="str">
        <x:v>依資料頁授權與引用規範</x:v>
      </x:c>
      <x:c r="I6" s="121" t="str">
        <x:v>持續更新</x:v>
      </x:c>
      <x:c r="J6" s="121" t="str">
        <x:v>長期趨勢、事件強度分析</x:v>
      </x:c>
      <x:c r="K6" s="121" t="str">
        <x:v>屬公開來源彙整，需核對原始公告</x:v>
      </x:c>
      <x:c r="L6" s="121" t="str">
        <x:v>https://chinapower.csis.org/data/taiwan-adiz-violations/</x:v>
      </x:c>
      <x:c r="M6" s="121" t="str">
        <x:v>2026-07-27</x:v>
      </x:c>
    </x:row>
    <x:row r="7" ht="40" customHeight="1">
      <x:c r="A7" s="122" t="str">
        <x:v>SRC-004</x:v>
      </x:c>
      <x:c r="B7" s="122" t="str">
        <x:v>Missile Threat</x:v>
      </x:c>
      <x:c r="C7" s="122" t="str">
        <x:v>武器系統公開資料</x:v>
      </x:c>
      <x:c r="D7" s="122" t="str">
        <x:v>CSIS Missile Defense Project</x:v>
      </x:c>
      <x:c r="E7" s="122" t="str">
        <x:v>智庫公開</x:v>
      </x:c>
      <x:c r="F7" s="122" t="str">
        <x:v>網頁</x:v>
      </x:c>
      <x:c r="G7" s="122" t="str">
        <x:v>各國飛彈與防空系統的公開性能、歷史與分析</x:v>
      </x:c>
      <x:c r="H7" s="122" t="str">
        <x:v>依網站授權與引用規範</x:v>
      </x:c>
      <x:c r="I7" s="122" t="str">
        <x:v>不定期</x:v>
      </x:c>
      <x:c r="J7" s="122" t="str">
        <x:v>建立武器類型、任務角色與公開性能區間</x:v>
      </x:c>
      <x:c r="K7" s="122" t="str">
        <x:v>不可直接當作實際命中率或作戰效能</x:v>
      </x:c>
      <x:c r="L7" s="122" t="str">
        <x:v>https://missilethreat.csis.org/missile/</x:v>
      </x:c>
      <x:c r="M7" s="122" t="str">
        <x:v>2026-07-27</x:v>
      </x:c>
    </x:row>
    <x:row r="8" ht="40" customHeight="1">
      <x:c r="A8" s="121" t="str">
        <x:v>SRC-005</x:v>
      </x:c>
      <x:c r="B8" s="121" t="str">
        <x:v>SIPRI Arms Transfers Database</x:v>
      </x:c>
      <x:c r="C8" s="121" t="str">
        <x:v>軍售/裝備移轉</x:v>
      </x:c>
      <x:c r="D8" s="121" t="str">
        <x:v>SIPRI</x:v>
      </x:c>
      <x:c r="E8" s="121" t="str">
        <x:v>研究公開</x:v>
      </x:c>
      <x:c r="F8" s="121" t="str">
        <x:v>查詢/CSV</x:v>
      </x:c>
      <x:c r="G8" s="121" t="str">
        <x:v>1950年至最近完整年度的主要傳統武器移轉</x:v>
      </x:c>
      <x:c r="H8" s="121" t="str">
        <x:v>依SIPRI使用與引用規範</x:v>
      </x:c>
      <x:c r="I8" s="121" t="str">
        <x:v>年度</x:v>
      </x:c>
      <x:c r="J8" s="121" t="str">
        <x:v>建立裝備取得時間線與來源國關係</x:v>
      </x:c>
      <x:c r="K8" s="121" t="str">
        <x:v>不提供完整現役數量、妥善率或戰備狀態</x:v>
      </x:c>
      <x:c r="L8" s="121" t="str">
        <x:v>https://www.sipri.org/databases/armstransfers</x:v>
      </x:c>
      <x:c r="M8" s="121" t="str">
        <x:v>2026-07-27</x:v>
      </x:c>
    </x:row>
    <x:row r="9" ht="40" customHeight="1">
      <x:c r="A9" s="122" t="str">
        <x:v>SRC-006</x:v>
      </x:c>
      <x:c r="B9" s="122" t="str">
        <x:v>Major Arms Sales</x:v>
      </x:c>
      <x:c r="C9" s="122" t="str">
        <x:v>軍售通知</x:v>
      </x:c>
      <x:c r="D9" s="122" t="str">
        <x:v>DSCA/美國政府</x:v>
      </x:c>
      <x:c r="E9" s="122" t="str">
        <x:v>官方公開</x:v>
      </x:c>
      <x:c r="F9" s="122" t="str">
        <x:v>網頁</x:v>
      </x:c>
      <x:c r="G9" s="122" t="str">
        <x:v>對外軍售國會通知、品項、估計金額與承包商</x:v>
      </x:c>
      <x:c r="H9" s="122" t="str">
        <x:v>美國政府公開資料</x:v>
      </x:c>
      <x:c r="I9" s="122" t="str">
        <x:v>事件更新</x:v>
      </x:c>
      <x:c r="J9" s="122" t="str">
        <x:v>補充臺美軍售案例與裝備類別</x:v>
      </x:c>
      <x:c r="K9" s="122" t="str">
        <x:v>通知金額與數量不等於最終交付或現役狀態</x:v>
      </x:c>
      <x:c r="L9" s="122" t="str">
        <x:v>https://www.dsca.mil/Press-Media/Major-Arms-Sales</x:v>
      </x:c>
      <x:c r="M9" s="122" t="str">
        <x:v>2026-07-27</x:v>
      </x:c>
    </x:row>
    <x:row r="10" ht="40" customHeight="1">
      <x:c r="A10" s="121" t="str">
        <x:v>SRC-007</x:v>
      </x:c>
      <x:c r="B10" s="121" t="str">
        <x:v>China Military Power Report 2025</x:v>
      </x:c>
      <x:c r="C10" s="121" t="str">
        <x:v>戰略/編裝公開評估</x:v>
      </x:c>
      <x:c r="D10" s="121" t="str">
        <x:v>美國國防部</x:v>
      </x:c>
      <x:c r="E10" s="121" t="str">
        <x:v>官方公開</x:v>
      </x:c>
      <x:c r="F10" s="121" t="str">
        <x:v>PDF</x:v>
      </x:c>
      <x:c r="G10" s="121" t="str">
        <x:v>中國軍事戰略、組織、能力與公開估計</x:v>
      </x:c>
      <x:c r="H10" s="121" t="str">
        <x:v>美國政府公開出版品</x:v>
      </x:c>
      <x:c r="I10" s="121" t="str">
        <x:v>年度</x:v>
      </x:c>
      <x:c r="J10" s="121" t="str">
        <x:v>背景敘事、能力分類、情境假設來源</x:v>
      </x:c>
      <x:c r="K10" s="121" t="str">
        <x:v>屬公開評估，數字可能為估計且需註明年份</x:v>
      </x:c>
      <x:c r="L10" s="121" t="str">
        <x:v>https://www.defense.gov/News/Publications/Search/china/</x:v>
      </x:c>
      <x:c r="M10" s="121" t="str">
        <x:v>2026-07-27</x:v>
      </x:c>
    </x:row>
    <x:row r="11" ht="40" customHeight="1">
      <x:c r="A11" s="122" t="str">
        <x:v>SRC-008</x:v>
      </x:c>
      <x:c r="B11" s="122" t="str">
        <x:v>National Material Capabilities v7.0</x:v>
      </x:c>
      <x:c r="C11" s="122" t="str">
        <x:v>國家能力/總體資料</x:v>
      </x:c>
      <x:c r="D11" s="122" t="str">
        <x:v>Correlates of War</x:v>
      </x:c>
      <x:c r="E11" s="122" t="str">
        <x:v>學術公開</x:v>
      </x:c>
      <x:c r="F11" s="122" t="str">
        <x:v>CSV/文件</x:v>
      </x:c>
      <x:c r="G11" s="122" t="str">
        <x:v>人口、軍費、軍事人員、能源等年度國家能力指標</x:v>
      </x:c>
      <x:c r="H11" s="122" t="str">
        <x:v>依COW資料授權與引用規範</x:v>
      </x:c>
      <x:c r="I11" s="122" t="str">
        <x:v>版本更新</x:v>
      </x:c>
      <x:c r="J11" s="122" t="str">
        <x:v>戰略層級背景與長期比較</x:v>
      </x:c>
      <x:c r="K11" s="122" t="str">
        <x:v>不適合用於戰術或單次交戰判定</x:v>
      </x:c>
      <x:c r="L11" s="122" t="str">
        <x:v>https://correlatesofwar.org/data-sets/national-material-capabilities/</x:v>
      </x:c>
      <x:c r="M11" s="122" t="str">
        <x:v>2026-07-27</x:v>
      </x:c>
    </x:row>
    <x:row r="12" ht="40" customHeight="1">
      <x:c r="A12" s="121" t="str">
        <x:v>SRC-009</x:v>
      </x:c>
      <x:c r="B12" s="121" t="str">
        <x:v>臺灣近海海面天氣預報</x:v>
      </x:c>
      <x:c r="C12" s="121" t="str">
        <x:v>氣象/海象</x:v>
      </x:c>
      <x:c r="D12" s="121" t="str">
        <x:v>交通部中央氣象署</x:v>
      </x:c>
      <x:c r="E12" s="121" t="str">
        <x:v>官方公開</x:v>
      </x:c>
      <x:c r="F12" s="121" t="str">
        <x:v>JSON API</x:v>
      </x:c>
      <x:c r="G12" s="121" t="str">
        <x:v>區域、氣象要素、起迄時間、參數名稱與數值</x:v>
      </x:c>
      <x:c r="H12" s="121" t="str">
        <x:v>政府資料開放授權條款第1版</x:v>
      </x:c>
      <x:c r="I12" s="121" t="str">
        <x:v>每6小時</x:v>
      </x:c>
      <x:c r="J12" s="121" t="str">
        <x:v>海象、能見度與任務限制條件</x:v>
      </x:c>
      <x:c r="K12" s="121" t="str">
        <x:v>預報資料應保留發布時間與不確定性</x:v>
      </x:c>
      <x:c r="L12" s="121" t="str">
        <x:v>https://data.gov.tw/en/datasets/7776</x:v>
      </x:c>
      <x:c r="M12" s="121" t="str">
        <x:v>2026-07-27</x:v>
      </x:c>
    </x:row>
    <x:row r="13" ht="40" customHeight="1">
      <x:c r="A13" s="122" t="str">
        <x:v>SRC-010</x:v>
      </x:c>
      <x:c r="B13" s="122" t="str">
        <x:v>ERA5</x:v>
      </x:c>
      <x:c r="C13" s="122" t="str">
        <x:v>氣象再分析</x:v>
      </x:c>
      <x:c r="D13" s="122" t="str">
        <x:v>Copernicus/ECMWF</x:v>
      </x:c>
      <x:c r="E13" s="122" t="str">
        <x:v>官方研究公開</x:v>
      </x:c>
      <x:c r="F13" s="122" t="str">
        <x:v>API/NetCDF</x:v>
      </x:c>
      <x:c r="G13" s="122" t="str">
        <x:v>1940年至今的逐時全球大氣、陸面與海況變數</x:v>
      </x:c>
      <x:c r="H13" s="122" t="str">
        <x:v>Copernicus資料授權</x:v>
      </x:c>
      <x:c r="I13" s="122" t="str">
        <x:v>持續更新</x:v>
      </x:c>
      <x:c r="J13" s="122" t="str">
        <x:v>歷史天候重建、季節性情境生成</x:v>
      </x:c>
      <x:c r="K13" s="122" t="str">
        <x:v>格點尺度不等同現地觀測</x:v>
      </x:c>
      <x:c r="L13" s="122" t="str">
        <x:v>https://cds.climate.copernicus.eu/datasets/reanalysis-era5-single-levels</x:v>
      </x:c>
      <x:c r="M13" s="122" t="str">
        <x:v>2026-07-27</x:v>
      </x:c>
    </x:row>
    <x:row r="14" ht="40" customHeight="1">
      <x:c r="A14" s="121" t="str">
        <x:v>SRC-011</x:v>
      </x:c>
      <x:c r="B14" s="121" t="str">
        <x:v>GEBCO Grid</x:v>
      </x:c>
      <x:c r="C14" s="121" t="str">
        <x:v>海底地形</x:v>
      </x:c>
      <x:c r="D14" s="121" t="str">
        <x:v>GEBCO/IHO/IOC</x:v>
      </x:c>
      <x:c r="E14" s="121" t="str">
        <x:v>國際公開</x:v>
      </x:c>
      <x:c r="F14" s="121" t="str">
        <x:v>NetCDF/GeoTIFF/WMS</x:v>
      </x:c>
      <x:c r="G14" s="121" t="str">
        <x:v>全球海底與陸地高程網格</x:v>
      </x:c>
      <x:c r="H14" s="121" t="str">
        <x:v>依GEBCO授權與引用規範</x:v>
      </x:c>
      <x:c r="I14" s="121" t="str">
        <x:v>版本更新</x:v>
      </x:c>
      <x:c r="J14" s="121" t="str">
        <x:v>海域地形與分析視覺化</x:v>
      </x:c>
      <x:c r="K14" s="121" t="str">
        <x:v>不可據此推導敏感航路或實際作戰部署</x:v>
      </x:c>
      <x:c r="L14" s="121" t="str">
        <x:v>https://www.gebco.net/data-products/gridded-bathymetry-data</x:v>
      </x:c>
      <x:c r="M14" s="121" t="str">
        <x:v>2026-07-27</x:v>
      </x:c>
    </x:row>
    <x:row r="15" ht="40" customHeight="1">
      <x:c r="A15" s="122" t="str">
        <x:v>SRC-012</x:v>
      </x:c>
      <x:c r="B15" s="122" t="str">
        <x:v>Natural Earth</x:v>
      </x:c>
      <x:c r="C15" s="122" t="str">
        <x:v>基礎地圖</x:v>
      </x:c>
      <x:c r="D15" s="122" t="str">
        <x:v>Natural Earth/NACIS</x:v>
      </x:c>
      <x:c r="E15" s="122" t="str">
        <x:v>公共領域</x:v>
      </x:c>
      <x:c r="F15" s="122" t="str">
        <x:v>SHP/GeoPackage/Raster</x:v>
      </x:c>
      <x:c r="G15" s="122" t="str">
        <x:v>國界、海岸線、地形與基礎地圖圖層</x:v>
      </x:c>
      <x:c r="H15" s="122" t="str">
        <x:v>Public Domain</x:v>
      </x:c>
      <x:c r="I15" s="122" t="str">
        <x:v>版本更新</x:v>
      </x:c>
      <x:c r="J15" s="122" t="str">
        <x:v>低敏感度戰略層級底圖</x:v>
      </x:c>
      <x:c r="K15" s="122" t="str">
        <x:v>解析度適合概略展示，不適合精細戰術模擬</x:v>
      </x:c>
      <x:c r="L15" s="122" t="str">
        <x:v>https://www.naturalearthdata.com/</x:v>
      </x:c>
      <x:c r="M15" s="122" t="str">
        <x:v>2026-07-27</x:v>
      </x:c>
    </x:row>
    <x:row r="16" ht="40" customHeight="1">
      <x:c r="A16" s="121" t="str">
        <x:v>SRC-013</x:v>
      </x:c>
      <x:c r="B16" s="121" t="str">
        <x:v>OpenStreetMap Taiwan Extract</x:v>
      </x:c>
      <x:c r="C16" s="121" t="str">
        <x:v>道路/地物</x:v>
      </x:c>
      <x:c r="D16" s="121" t="str">
        <x:v>OpenStreetMap/Geofabrik</x:v>
      </x:c>
      <x:c r="E16" s="121" t="str">
        <x:v>開放資料</x:v>
      </x:c>
      <x:c r="F16" s="121" t="str">
        <x:v>PBF/GeoPackage</x:v>
      </x:c>
      <x:c r="G16" s="121" t="str">
        <x:v>道路、水系、建物與一般地物</x:v>
      </x:c>
      <x:c r="H16" s="121" t="str">
        <x:v>ODbL</x:v>
      </x:c>
      <x:c r="I16" s="121" t="str">
        <x:v>每日/頻繁</x:v>
      </x:c>
      <x:c r="J16" s="121" t="str">
        <x:v>民事交通與疏散模擬、一般底圖</x:v>
      </x:c>
      <x:c r="K16" s="121" t="str">
        <x:v>應避免直接匯入敏感設施與精確目標清單</x:v>
      </x:c>
      <x:c r="L16" s="121" t="str">
        <x:v>https://download.geofabrik.de/asia/taiwan.html</x:v>
      </x:c>
      <x:c r="M16" s="121" t="str">
        <x:v>2026-07-27</x:v>
      </x:c>
    </x:row>
    <x:row r="17" ht="40" customHeight="1">
      <x:c r="A17" s="122" t="str">
        <x:v>SRC-014</x:v>
      </x:c>
      <x:c r="B17" s="122" t="str">
        <x:v>UCDP Datasets</x:v>
      </x:c>
      <x:c r="C17" s="122" t="str">
        <x:v>衝突事件/傷亡</x:v>
      </x:c>
      <x:c r="D17" s="122" t="str">
        <x:v>Uppsala University</x:v>
      </x:c>
      <x:c r="E17" s="122" t="str">
        <x:v>學術公開</x:v>
      </x:c>
      <x:c r="F17" s="122" t="str">
        <x:v>CSV/R/Stata</x:v>
      </x:c>
      <x:c r="G17" s="122" t="str">
        <x:v>國家型、非國家型與單方面暴力事件及傷亡估計</x:v>
      </x:c>
      <x:c r="H17" s="122" t="str">
        <x:v>CC BY 4.0</x:v>
      </x:c>
      <x:c r="I17" s="122" t="str">
        <x:v>年度</x:v>
      </x:c>
      <x:c r="J17" s="122" t="str">
        <x:v>建立歷史衝突事件格式與傷亡不確定性方法</x:v>
      </x:c>
      <x:c r="K17" s="122" t="str">
        <x:v>臺海未發生對應大型戰爭，不能直接提供本情境折損率</x:v>
      </x:c>
      <x:c r="L17" s="122" t="str">
        <x:v>https://ucdp.uu.se/downloads/</x:v>
      </x:c>
      <x:c r="M17" s="122" t="str">
        <x:v>2026-07-27</x:v>
      </x:c>
    </x:row>
    <x:row r="18" ht="40" customHeight="1">
      <x:c r="A18" s="121" t="str">
        <x:v>SRC-015</x:v>
      </x:c>
      <x:c r="B18" s="121" t="str">
        <x:v>ACLED Data Export</x:v>
      </x:c>
      <x:c r="C18" s="121" t="str">
        <x:v>政治暴力/示威/事件</x:v>
      </x:c>
      <x:c r="D18" s="121" t="str">
        <x:v>ACLED</x:v>
      </x:c>
      <x:c r="E18" s="121" t="str">
        <x:v>註冊使用</x:v>
      </x:c>
      <x:c r="F18" s="121" t="str">
        <x:v>CSV/API</x:v>
      </x:c>
      <x:c r="G18" s="121" t="str">
        <x:v>事件日期、地點、行為者、事件類型與死亡數</x:v>
      </x:c>
      <x:c r="H18" s="121" t="str">
        <x:v>依ACLED EULA與引用政策</x:v>
      </x:c>
      <x:c r="I18" s="121" t="str">
        <x:v>近即時</x:v>
      </x:c>
      <x:c r="J18" s="121" t="str">
        <x:v>事件資料結構、灰色地帶與政治事件研究</x:v>
      </x:c>
      <x:c r="K18" s="121" t="str">
        <x:v>使用與再散布受條款限制</x:v>
      </x:c>
      <x:c r="L18" s="121" t="str">
        <x:v>https://acleddata.com/conflict-data/data-export-tool</x:v>
      </x:c>
      <x:c r="M18" s="121" t="str">
        <x:v>2026-07-27</x:v>
      </x:c>
    </x:row>
    <x:row r="19" ht="40" customHeight="1">
      <x:c r="A19" s="122" t="str">
        <x:v>SRC-016</x:v>
      </x:c>
      <x:c r="B19" s="122" t="str">
        <x:v>The Military Balance / Military Balance+</x:v>
      </x:c>
      <x:c r="C19" s="122" t="str">
        <x:v>編裝與軍力</x:v>
      </x:c>
      <x:c r="D19" s="122" t="str">
        <x:v>IISS</x:v>
      </x:c>
      <x:c r="E19" s="122" t="str">
        <x:v>付費商用</x:v>
      </x:c>
      <x:c r="F19" s="122" t="str">
        <x:v>書籍/資料庫</x:v>
      </x:c>
      <x:c r="G19" s="122" t="str">
        <x:v>各國軍力、裝備與編裝彙整</x:v>
      </x:c>
      <x:c r="H19" s="122" t="str">
        <x:v>商業授權</x:v>
      </x:c>
      <x:c r="I19" s="122" t="str">
        <x:v>年度/平台更新</x:v>
      </x:c>
      <x:c r="J19" s="122" t="str">
        <x:v>較完整的編裝參考</x:v>
      </x:c>
      <x:c r="K19" s="122" t="str">
        <x:v>非免費；仍不含可靠的即時妥善率與交戰效能</x:v>
      </x:c>
      <x:c r="L19" s="122" t="str">
        <x:v>https://www.iiss.org/</x:v>
      </x:c>
      <x:c r="M19" s="122" t="str">
        <x:v>2026-07-27</x:v>
      </x:c>
    </x:row>
    <x:row r="20" ht="40" customHeight="1">
      <x:c r="A20" s="121" t="str">
        <x:v>SRC-017</x:v>
      </x:c>
      <x:c r="B20" s="121" t="str">
        <x:v>Improving the Analysis Capabilities of the Synthetic Theater Operations Research Model (STORM)</x:v>
      </x:c>
      <x:c r="C20" s="121" t="str">
        <x:v>作戰研究/戰役模擬</x:v>
      </x:c>
      <x:c r="D20" s="121" t="str">
        <x:v>Naval Postgraduate School</x:v>
      </x:c>
      <x:c r="E20" s="121" t="str">
        <x:v>學術公開</x:v>
      </x:c>
      <x:c r="F20" s="121" t="str">
        <x:v>PDF論文</x:v>
      </x:c>
      <x:c r="G20" s="121" t="str">
        <x:v>STORM戰役分析概念、五種表徵、資料驅動設計、隨機分布與DOE示範</x:v>
      </x:c>
      <x:c r="H20" s="121" t="str">
        <x:v>依典藏與出版規範</x:v>
      </x:c>
      <x:c r="I20" s="121" t="str">
        <x:v>歷史研究</x:v>
      </x:c>
      <x:c r="J20" s="121" t="str">
        <x:v>教授STORM概念模型、表徵、輸入/執行/輸出及實驗設計</x:v>
      </x:c>
      <x:c r="K20" s="121" t="str">
        <x:v>公開描述不等於正式軟體規格；本系統未重製STORM</x:v>
      </x:c>
      <x:c r="L20" s="121" t="str">
        <x:v>https://upload.wikimedia.org/wikipedia/commons/4/49/Improving_the_analysis_capabilities_of_the_Synthetic_Theater_Operations_Research_Model_%28STORM%29_%28IA_improvingnalysis1094543878%29.pdf</x:v>
      </x:c>
      <x:c r="M20" s="121" t="str">
        <x:v>2026-07-27</x:v>
      </x:c>
    </x:row>
    <x:row r="21" ht="40" customHeight="1">
      <x:c r="A21" s="122" t="str">
        <x:v>SRC-018</x:v>
      </x:c>
      <x:c r="B21" s="122" t="str">
        <x:v>Enhancing the Analytic Utility of STORM</x:v>
      </x:c>
      <x:c r="C21" s="122" t="str">
        <x:v>作戰研究/統計分析</x:v>
      </x:c>
      <x:c r="D21" s="122" t="str">
        <x:v>Winter Simulation Conference / Naval Postgraduate School / OPNAV N81</x:v>
      </x:c>
      <x:c r="E21" s="122" t="str">
        <x:v>學術公開</x:v>
      </x:c>
      <x:c r="F21" s="122" t="str">
        <x:v>PDF論文</x:v>
      </x:c>
      <x:c r="G21" s="122" t="str">
        <x:v>隨機重複、輸出後處理、樣本數、變異與分析效度</x:v>
      </x:c>
      <x:c r="H21" s="122" t="str">
        <x:v>依會議論文使用規範</x:v>
      </x:c>
      <x:c r="I21" s="122" t="str">
        <x:v>歷史研究</x:v>
      </x:c>
      <x:c r="J21" s="122" t="str">
        <x:v>教授重複次數、輸出分布及後處理的重要性</x:v>
      </x:c>
      <x:c r="K21" s="122" t="str">
        <x:v>描述大型正式模型；模擬版僅採分析概念</x:v>
      </x:c>
      <x:c r="L21" s="122" t="str">
        <x:v>https://informs-sim.org/wsc14papers/includes/files/440.pdf</x:v>
      </x:c>
      <x:c r="M21" s="122" t="str">
        <x:v>2026-07-27</x:v>
      </x:c>
    </x:row>
    <x:row r="22" ht="40" customHeight="1">
      <x:c r="A22" s="121" t="str">
        <x:v>SRC-019</x:v>
      </x:c>
      <x:c r="B22" s="121" t="str">
        <x:v>Developing STORM Analytical Utility, Phase II</x:v>
      </x:c>
      <x:c r="C22" s="121" t="str">
        <x:v>戰役分析/研究計畫</x:v>
      </x:c>
      <x:c r="D22" s="121" t="str">
        <x:v>Naval Postgraduate School</x:v>
      </x:c>
      <x:c r="E22" s="121" t="str">
        <x:v>官方學術公開</x:v>
      </x:c>
      <x:c r="F22" s="121" t="str">
        <x:v>研究計畫網頁</x:v>
      </x:c>
      <x:c r="G22" s="121" t="str">
        <x:v>戰役層級、實體規模、交互作用、輸出後處理與資源分析用途</x:v>
      </x:c>
      <x:c r="H22" s="121" t="str">
        <x:v>依NPS網站規範</x:v>
      </x:c>
      <x:c r="I22" s="121" t="str">
        <x:v>研究計畫紀錄</x:v>
      </x:c>
      <x:c r="J22" s="121" t="str">
        <x:v>說明正式STORM的規模與分析用途</x:v>
      </x:c>
      <x:c r="K22" s="121" t="str">
        <x:v>不提供正式模型程式、資料庫或參數</x:v>
      </x:c>
      <x:c r="L22" s="121" t="str">
        <x:v>https://nps.edu/web/research/-/developing-synthetic-theater-operations-research-model-storm-analytical-utility-phase-ii-2016</x:v>
      </x:c>
      <x:c r="M22" s="121" t="str">
        <x:v>2026-07-27</x:v>
      </x:c>
    </x:row>
    <x:row r="23" ht="40" customHeight="1">
      <x:c r="A23" s="122" t="str">
        <x:v>SRC-020</x:v>
      </x:c>
      <x:c r="B23" s="122" t="str">
        <x:v>F-16 Fighting Falcon</x:v>
      </x:c>
      <x:c r="C23" s="122" t="str">
        <x:v>具名資源／公開名稱</x:v>
      </x:c>
      <x:c r="D23" s="122" t="str">
        <x:v>中華民國空軍</x:v>
      </x:c>
      <x:c r="E23" s="122" t="str">
        <x:v>官方公開</x:v>
      </x:c>
      <x:c r="F23" s="122" t="str">
        <x:v>HTML</x:v>
      </x:c>
      <x:c r="G23" s="122" t="str">
        <x:v>公開機型名稱與簡介</x:v>
      </x:c>
      <x:c r="H23" s="122" t="str">
        <x:v>官網使用條款</x:v>
      </x:c>
      <x:c r="I23" s="122" t="str">
        <x:v>不定期</x:v>
      </x:c>
      <x:c r="J23" s="122" t="str">
        <x:v>確認教學敘事名稱</x:v>
      </x:c>
      <x:c r="K23" s="122" t="str">
        <x:v>不提供本遊戲參數依據</x:v>
      </x:c>
      <x:c r="L23" s="122" t="str">
        <x:v>https://air.mnd.gov.tw/TW/Weapon/Weapon_Detail.aspx?CID=55&amp;ID=88</x:v>
      </x:c>
      <x:c r="M23" s="122" t="str">
        <x:v>2026-07-28</x:v>
      </x:c>
    </x:row>
    <x:row r="24" ht="40" customHeight="1">
      <x:c r="A24" s="121" t="str">
        <x:v>SRC-021</x:v>
      </x:c>
      <x:c r="B24" s="121" t="str">
        <x:v>F-CK-1 經國號</x:v>
      </x:c>
      <x:c r="C24" s="121" t="str">
        <x:v>具名資源／公開名稱</x:v>
      </x:c>
      <x:c r="D24" s="121" t="str">
        <x:v>中華民國空軍</x:v>
      </x:c>
      <x:c r="E24" s="121" t="str">
        <x:v>官方公開</x:v>
      </x:c>
      <x:c r="F24" s="121" t="str">
        <x:v>HTML</x:v>
      </x:c>
      <x:c r="G24" s="121" t="str">
        <x:v>公開機型名稱與簡介</x:v>
      </x:c>
      <x:c r="H24" s="121" t="str">
        <x:v>官網使用條款</x:v>
      </x:c>
      <x:c r="I24" s="121" t="str">
        <x:v>不定期</x:v>
      </x:c>
      <x:c r="J24" s="121" t="str">
        <x:v>確認教學敘事名稱</x:v>
      </x:c>
      <x:c r="K24" s="121" t="str">
        <x:v>不提供本遊戲參數依據</x:v>
      </x:c>
      <x:c r="L24" s="121" t="str">
        <x:v>https://air.mnd.gov.tw/TW/Weapon/Weapon_Detail.aspx?CID=55&amp;ID=89</x:v>
      </x:c>
      <x:c r="M24" s="121" t="str">
        <x:v>2026-07-28</x:v>
      </x:c>
    </x:row>
    <x:row r="25" ht="40" customHeight="1">
      <x:c r="A25" s="122" t="str">
        <x:v>SRC-022</x:v>
      </x:c>
      <x:c r="B25" s="122" t="str">
        <x:v>C-130H Hercules</x:v>
      </x:c>
      <x:c r="C25" s="122" t="str">
        <x:v>具名資源／公開名稱</x:v>
      </x:c>
      <x:c r="D25" s="122" t="str">
        <x:v>中華民國空軍</x:v>
      </x:c>
      <x:c r="E25" s="122" t="str">
        <x:v>官方公開</x:v>
      </x:c>
      <x:c r="F25" s="122" t="str">
        <x:v>HTML</x:v>
      </x:c>
      <x:c r="G25" s="122" t="str">
        <x:v>公開機型名稱與簡介</x:v>
      </x:c>
      <x:c r="H25" s="122" t="str">
        <x:v>官網使用條款</x:v>
      </x:c>
      <x:c r="I25" s="122" t="str">
        <x:v>不定期</x:v>
      </x:c>
      <x:c r="J25" s="122" t="str">
        <x:v>確認教學敘事名稱</x:v>
      </x:c>
      <x:c r="K25" s="122" t="str">
        <x:v>不提供本遊戲參數依據</x:v>
      </x:c>
      <x:c r="L25" s="122" t="str">
        <x:v>https://air.mnd.gov.tw/EN/Weapon/Weapon_Detail.aspx?CID=223&amp;ID=181</x:v>
      </x:c>
      <x:c r="M25" s="122" t="str">
        <x:v>2026-07-28</x:v>
      </x:c>
    </x:row>
    <x:row r="26" ht="40" customHeight="1">
      <x:c r="A26" s="121" t="str">
        <x:v>SRC-023</x:v>
      </x:c>
      <x:c r="B26" s="121" t="str">
        <x:v>Mirage 2000-5</x:v>
      </x:c>
      <x:c r="C26" s="121" t="str">
        <x:v>具名資源／公開名稱</x:v>
      </x:c>
      <x:c r="D26" s="121" t="str">
        <x:v>中華民國空軍</x:v>
      </x:c>
      <x:c r="E26" s="121" t="str">
        <x:v>官方公開</x:v>
      </x:c>
      <x:c r="F26" s="121" t="str">
        <x:v>HTML</x:v>
      </x:c>
      <x:c r="G26" s="121" t="str">
        <x:v>公開機型名稱與簡介</x:v>
      </x:c>
      <x:c r="H26" s="121" t="str">
        <x:v>官網使用條款</x:v>
      </x:c>
      <x:c r="I26" s="121" t="str">
        <x:v>不定期</x:v>
      </x:c>
      <x:c r="J26" s="121" t="str">
        <x:v>確認教學敘事名稱</x:v>
      </x:c>
      <x:c r="K26" s="121" t="str">
        <x:v>不提供本遊戲參數依據</x:v>
      </x:c>
      <x:c r="L26" s="121" t="str">
        <x:v>https://air.mnd.gov.tw/tw/weapon/weapon_detail.aspx?cid=55&amp;id=7</x:v>
      </x:c>
      <x:c r="M26" s="121" t="str">
        <x:v>2026-07-28</x:v>
      </x:c>
    </x:row>
    <x:row r="27" ht="40" customHeight="1">
      <x:c r="A27" s="122" t="str">
        <x:v>SRC-024</x:v>
      </x:c>
      <x:c r="B27" s="122" t="str">
        <x:v>P-3C／E-2K 公開機型清單</x:v>
      </x:c>
      <x:c r="C27" s="122" t="str">
        <x:v>具名資源／公開名稱</x:v>
      </x:c>
      <x:c r="D27" s="122" t="str">
        <x:v>中華民國空軍</x:v>
      </x:c>
      <x:c r="E27" s="122" t="str">
        <x:v>官方公開</x:v>
      </x:c>
      <x:c r="F27" s="122" t="str">
        <x:v>HTML</x:v>
      </x:c>
      <x:c r="G27" s="122" t="str">
        <x:v>公開機型名稱</x:v>
      </x:c>
      <x:c r="H27" s="122" t="str">
        <x:v>官網使用條款</x:v>
      </x:c>
      <x:c r="I27" s="122" t="str">
        <x:v>不定期</x:v>
      </x:c>
      <x:c r="J27" s="122" t="str">
        <x:v>確認教學敘事名稱</x:v>
      </x:c>
      <x:c r="K27" s="122" t="str">
        <x:v>不提供本遊戲參數依據</x:v>
      </x:c>
      <x:c r="L27" s="122" t="str">
        <x:v>https://air.mnd.gov.tw/TW/Weapon/Weapon_List.aspx?CID=57</x:v>
      </x:c>
      <x:c r="M27" s="122" t="str">
        <x:v>2026-07-28</x:v>
      </x:c>
    </x:row>
    <x:row r="28" ht="40" customHeight="1">
      <x:c r="A28" s="121" t="str">
        <x:v>SRC-025</x:v>
      </x:c>
      <x:c r="B28" s="121" t="str">
        <x:v>天劍二型飛彈</x:v>
      </x:c>
      <x:c r="C28" s="121" t="str">
        <x:v>具名資源／公開名稱</x:v>
      </x:c>
      <x:c r="D28" s="121" t="str">
        <x:v>中華民國國防部</x:v>
      </x:c>
      <x:c r="E28" s="121" t="str">
        <x:v>官方公開</x:v>
      </x:c>
      <x:c r="F28" s="121" t="str">
        <x:v>HTML</x:v>
      </x:c>
      <x:c r="G28" s="121" t="str">
        <x:v>公開裝備名稱</x:v>
      </x:c>
      <x:c r="H28" s="121" t="str">
        <x:v>官網使用條款</x:v>
      </x:c>
      <x:c r="I28" s="121" t="str">
        <x:v>不定期</x:v>
      </x:c>
      <x:c r="J28" s="121" t="str">
        <x:v>確認教學敘事名稱</x:v>
      </x:c>
      <x:c r="K28" s="121" t="str">
        <x:v>不提供本遊戲參數依據</x:v>
      </x:c>
      <x:c r="L28" s="121" t="str">
        <x:v>https://www.mnd.gov.tw/en/informationservices/publication/56807</x:v>
      </x:c>
      <x:c r="M28" s="121" t="str">
        <x:v>2026-07-28</x:v>
      </x:c>
    </x:row>
    <x:row r="29" ht="40" customHeight="1">
      <x:c r="A29" s="122" t="str">
        <x:v>SRC-026</x:v>
      </x:c>
      <x:c r="B29" s="122" t="str">
        <x:v>雄風三型飛彈</x:v>
      </x:c>
      <x:c r="C29" s="122" t="str">
        <x:v>具名資源／公開名稱</x:v>
      </x:c>
      <x:c r="D29" s="122" t="str">
        <x:v>中華民國國防部</x:v>
      </x:c>
      <x:c r="E29" s="122" t="str">
        <x:v>官方公開</x:v>
      </x:c>
      <x:c r="F29" s="122" t="str">
        <x:v>HTML</x:v>
      </x:c>
      <x:c r="G29" s="122" t="str">
        <x:v>公開裝備名稱</x:v>
      </x:c>
      <x:c r="H29" s="122" t="str">
        <x:v>官網使用條款</x:v>
      </x:c>
      <x:c r="I29" s="122" t="str">
        <x:v>不定期</x:v>
      </x:c>
      <x:c r="J29" s="122" t="str">
        <x:v>確認教學敘事名稱</x:v>
      </x:c>
      <x:c r="K29" s="122" t="str">
        <x:v>不提供本遊戲參數依據</x:v>
      </x:c>
      <x:c r="L29" s="122" t="str">
        <x:v>https://www.mnd.gov.tw/en/informationservices/publication/56153</x:v>
      </x:c>
      <x:c r="M29" s="122" t="str">
        <x:v>2026-07-28</x:v>
      </x:c>
    </x:row>
    <x:row r="30" ht="40" customHeight="1">
      <x:c r="A30" s="121" t="str">
        <x:v>SRC-027</x:v>
      </x:c>
      <x:c r="B30" s="121" t="str">
        <x:v>天弓三型飛彈</x:v>
      </x:c>
      <x:c r="C30" s="121" t="str">
        <x:v>具名資源／公開名稱</x:v>
      </x:c>
      <x:c r="D30" s="121" t="str">
        <x:v>中華民國空軍</x:v>
      </x:c>
      <x:c r="E30" s="121" t="str">
        <x:v>官方公開</x:v>
      </x:c>
      <x:c r="F30" s="121" t="str">
        <x:v>HTML</x:v>
      </x:c>
      <x:c r="G30" s="121" t="str">
        <x:v>公開裝備名稱</x:v>
      </x:c>
      <x:c r="H30" s="121" t="str">
        <x:v>官網使用條款</x:v>
      </x:c>
      <x:c r="I30" s="121" t="str">
        <x:v>不定期</x:v>
      </x:c>
      <x:c r="J30" s="121" t="str">
        <x:v>確認教學敘事名稱</x:v>
      </x:c>
      <x:c r="K30" s="121" t="str">
        <x:v>不提供本遊戲參數依據</x:v>
      </x:c>
      <x:c r="L30" s="121" t="str">
        <x:v>https://air.mnd.gov.tw/TW/Weapon/Weapon_Detail.aspx?CID=220&amp;ID=135</x:v>
      </x:c>
      <x:c r="M30" s="121" t="str">
        <x:v>2026-07-28</x:v>
      </x:c>
    </x:row>
    <x:row r="31" ht="40" customHeight="1">
      <x:c r="A31" s="122" t="str">
        <x:v>SRC-028</x:v>
      </x:c>
      <x:c r="B31" s="122" t="str">
        <x:v>J-20／J-16／J-10C／Y-20／H-6K／KJ-500</x:v>
      </x:c>
      <x:c r="C31" s="122" t="str">
        <x:v>具名資源／公開名稱</x:v>
      </x:c>
      <x:c r="D31" s="122" t="str">
        <x:v>中華人民共和國國防部</x:v>
      </x:c>
      <x:c r="E31" s="122" t="str">
        <x:v>官方公開</x:v>
      </x:c>
      <x:c r="F31" s="122" t="str">
        <x:v>HTML</x:v>
      </x:c>
      <x:c r="G31" s="122" t="str">
        <x:v>公開機型名稱</x:v>
      </x:c>
      <x:c r="H31" s="122" t="str">
        <x:v>官網使用條款</x:v>
      </x:c>
      <x:c r="I31" s="122" t="str">
        <x:v>不定期</x:v>
      </x:c>
      <x:c r="J31" s="122" t="str">
        <x:v>確認教學敘事名稱</x:v>
      </x:c>
      <x:c r="K31" s="122" t="str">
        <x:v>不提供本遊戲參數依據</x:v>
      </x:c>
      <x:c r="L31" s="122" t="str">
        <x:v>https://www.mod.gov.cn/gfbw/wzll/16145594.html</x:v>
      </x:c>
      <x:c r="M31" s="122" t="str">
        <x:v>2026-07-28</x:v>
      </x:c>
    </x:row>
    <x:row r="32" ht="40" customHeight="1">
      <x:c r="A32" s="121" t="str">
        <x:v>SRC-029</x:v>
      </x:c>
      <x:c r="B32" s="121" t="str">
        <x:v>DF-17</x:v>
      </x:c>
      <x:c r="C32" s="121" t="str">
        <x:v>具名資源／公開名稱</x:v>
      </x:c>
      <x:c r="D32" s="121" t="str">
        <x:v>中華人民共和國國防部</x:v>
      </x:c>
      <x:c r="E32" s="121" t="str">
        <x:v>官方公開</x:v>
      </x:c>
      <x:c r="F32" s="121" t="str">
        <x:v>HTML</x:v>
      </x:c>
      <x:c r="G32" s="121" t="str">
        <x:v>公開裝備名稱</x:v>
      </x:c>
      <x:c r="H32" s="121" t="str">
        <x:v>官網使用條款</x:v>
      </x:c>
      <x:c r="I32" s="121" t="str">
        <x:v>不定期</x:v>
      </x:c>
      <x:c r="J32" s="121" t="str">
        <x:v>確認教學敘事名稱</x:v>
      </x:c>
      <x:c r="K32" s="121" t="str">
        <x:v>不提供本遊戲參數依據</x:v>
      </x:c>
      <x:c r="L32" s="121" t="str">
        <x:v>https://www.mod.gov.cn/gfbw/wzll/16131439.html</x:v>
      </x:c>
      <x:c r="M32" s="121" t="str">
        <x:v>2026-07-28</x:v>
      </x:c>
    </x:row>
    <x:row r="33" ht="40" customHeight="1">
      <x:c r="A33" s="122" t="str">
        <x:v>SRC-030</x:v>
      </x:c>
      <x:c r="B33" s="122" t="str">
        <x:v>DF-26</x:v>
      </x:c>
      <x:c r="C33" s="122" t="str">
        <x:v>具名資源／公開名稱</x:v>
      </x:c>
      <x:c r="D33" s="122" t="str">
        <x:v>中華人民共和國國防部</x:v>
      </x:c>
      <x:c r="E33" s="122" t="str">
        <x:v>官方公開</x:v>
      </x:c>
      <x:c r="F33" s="122" t="str">
        <x:v>HTML</x:v>
      </x:c>
      <x:c r="G33" s="122" t="str">
        <x:v>公開裝備名稱</x:v>
      </x:c>
      <x:c r="H33" s="122" t="str">
        <x:v>官網使用條款</x:v>
      </x:c>
      <x:c r="I33" s="122" t="str">
        <x:v>不定期</x:v>
      </x:c>
      <x:c r="J33" s="122" t="str">
        <x:v>確認教學敘事名稱</x:v>
      </x:c>
      <x:c r="K33" s="122" t="str">
        <x:v>不提供本遊戲參數依據</x:v>
      </x:c>
      <x:c r="L33" s="122" t="str">
        <x:v>https://www.mod.gov.cn/gfbw/sy/tt_214026/4811028.html</x:v>
      </x:c>
      <x:c r="M33" s="122" t="str">
        <x:v>2026-07-28</x:v>
      </x:c>
    </x:row>
    <x:row r="34" ht="40" customHeight="1">
      <x:c r="A34" s="121" t="str">
        <x:v>SRC-031</x:v>
      </x:c>
      <x:c r="B34" s="121" t="str">
        <x:v>Type 055 Destroyer</x:v>
      </x:c>
      <x:c r="C34" s="121" t="str">
        <x:v>具名資源／公開名稱</x:v>
      </x:c>
      <x:c r="D34" s="121" t="str">
        <x:v>中華人民共和國國防部</x:v>
      </x:c>
      <x:c r="E34" s="121" t="str">
        <x:v>官方公開</x:v>
      </x:c>
      <x:c r="F34" s="121" t="str">
        <x:v>HTML</x:v>
      </x:c>
      <x:c r="G34" s="121" t="str">
        <x:v>公開艦型名稱</x:v>
      </x:c>
      <x:c r="H34" s="121" t="str">
        <x:v>官網使用條款</x:v>
      </x:c>
      <x:c r="I34" s="121" t="str">
        <x:v>不定期</x:v>
      </x:c>
      <x:c r="J34" s="121" t="str">
        <x:v>確認教學敘事名稱</x:v>
      </x:c>
      <x:c r="K34" s="121" t="str">
        <x:v>不提供本遊戲參數依據</x:v>
      </x:c>
      <x:c r="L34" s="121" t="str">
        <x:v>https://eng.mod.gov.cn/xb/News_213114/TopStories/4880612.html</x:v>
      </x:c>
      <x:c r="M34" s="121" t="str">
        <x:v>2026-07-28</x:v>
      </x:c>
    </x:row>
    <x:row r="35" ht="40" customHeight="1">
      <x:c r="A35" s="122" t="str">
        <x:v>SRC-032</x:v>
      </x:c>
      <x:c r="B35" s="122" t="str">
        <x:v>USAF Aircraft Fact Sheets</x:v>
      </x:c>
      <x:c r="C35" s="122" t="str">
        <x:v>具名資源／公開名稱</x:v>
      </x:c>
      <x:c r="D35" s="122" t="str">
        <x:v>United States Air Force</x:v>
      </x:c>
      <x:c r="E35" s="122" t="str">
        <x:v>官方公開</x:v>
      </x:c>
      <x:c r="F35" s="122" t="str">
        <x:v>HTML</x:v>
      </x:c>
      <x:c r="G35" s="122" t="str">
        <x:v>F-35A、KC-46A、C-17 公開名稱</x:v>
      </x:c>
      <x:c r="H35" s="122" t="str">
        <x:v>Public domain / site terms</x:v>
      </x:c>
      <x:c r="I35" s="122" t="str">
        <x:v>不定期</x:v>
      </x:c>
      <x:c r="J35" s="122" t="str">
        <x:v>確認教學敘事名稱</x:v>
      </x:c>
      <x:c r="K35" s="122" t="str">
        <x:v>不提供本遊戲參數依據</x:v>
      </x:c>
      <x:c r="L35" s="122" t="str">
        <x:v>https://www.af.mil/About-Us/Fact-Sheets/Aircraft-Factsheets/</x:v>
      </x:c>
      <x:c r="M35" s="122" t="str">
        <x:v>2026-07-28</x:v>
      </x:c>
    </x:row>
    <x:row r="36" ht="40" customHeight="1">
      <x:c r="A36" s="121" t="str">
        <x:v>SRC-033</x:v>
      </x:c>
      <x:c r="B36" s="121" t="str">
        <x:v>Virginia-class Attack Submarine</x:v>
      </x:c>
      <x:c r="C36" s="121" t="str">
        <x:v>具名資源／公開名稱</x:v>
      </x:c>
      <x:c r="D36" s="121" t="str">
        <x:v>United States Navy</x:v>
      </x:c>
      <x:c r="E36" s="121" t="str">
        <x:v>官方公開</x:v>
      </x:c>
      <x:c r="F36" s="121" t="str">
        <x:v>HTML</x:v>
      </x:c>
      <x:c r="G36" s="121" t="str">
        <x:v>公開艦型名稱</x:v>
      </x:c>
      <x:c r="H36" s="121" t="str">
        <x:v>Public domain / site terms</x:v>
      </x:c>
      <x:c r="I36" s="121" t="str">
        <x:v>不定期</x:v>
      </x:c>
      <x:c r="J36" s="121" t="str">
        <x:v>確認教學敘事名稱</x:v>
      </x:c>
      <x:c r="K36" s="121" t="str">
        <x:v>不提供本遊戲參數依據</x:v>
      </x:c>
      <x:c r="L36" s="121" t="str">
        <x:v>https://www.navy.mil/Resources/Fact-Files/Display-FactFiles/Article/2169558/attack-submarines-ssn/</x:v>
      </x:c>
      <x:c r="M36" s="121" t="str">
        <x:v>2026-07-28</x:v>
      </x:c>
    </x:row>
    <x:row r="37" ht="40" customHeight="1">
      <x:c r="A37" s="122" t="str">
        <x:v>SRC-034</x:v>
      </x:c>
      <x:c r="B37" s="122" t="str">
        <x:v>Standard Missile / SM-6</x:v>
      </x:c>
      <x:c r="C37" s="122" t="str">
        <x:v>具名資源／公開名稱</x:v>
      </x:c>
      <x:c r="D37" s="122" t="str">
        <x:v>United States Navy</x:v>
      </x:c>
      <x:c r="E37" s="122" t="str">
        <x:v>官方公開</x:v>
      </x:c>
      <x:c r="F37" s="122" t="str">
        <x:v>HTML</x:v>
      </x:c>
      <x:c r="G37" s="122" t="str">
        <x:v>公開裝備名稱</x:v>
      </x:c>
      <x:c r="H37" s="122" t="str">
        <x:v>Public domain / site terms</x:v>
      </x:c>
      <x:c r="I37" s="122" t="str">
        <x:v>不定期</x:v>
      </x:c>
      <x:c r="J37" s="122" t="str">
        <x:v>確認教學敘事名稱</x:v>
      </x:c>
      <x:c r="K37" s="122" t="str">
        <x:v>不提供本遊戲參數依據</x:v>
      </x:c>
      <x:c r="L37" s="122" t="str">
        <x:v>https://www.navy.mil/Resources/Fact-Files/Display-FactFiles/Article/2169011/standard-missile/standard-missile/</x:v>
      </x:c>
      <x:c r="M37" s="122" t="str">
        <x:v>2026-07-28</x:v>
      </x:c>
    </x:row>
    <x:row r="38" ht="40" customHeight="1">
      <x:c r="A38" s="121" t="str">
        <x:v>SRC-035</x:v>
      </x:c>
      <x:c r="B38" s="121" t="str">
        <x:v>Tomahawk Cruise Missile</x:v>
      </x:c>
      <x:c r="C38" s="121" t="str">
        <x:v>具名資源／公開名稱</x:v>
      </x:c>
      <x:c r="D38" s="121" t="str">
        <x:v>United States Navy</x:v>
      </x:c>
      <x:c r="E38" s="121" t="str">
        <x:v>官方公開</x:v>
      </x:c>
      <x:c r="F38" s="121" t="str">
        <x:v>HTML</x:v>
      </x:c>
      <x:c r="G38" s="121" t="str">
        <x:v>公開裝備名稱</x:v>
      </x:c>
      <x:c r="H38" s="121" t="str">
        <x:v>Public domain / site terms</x:v>
      </x:c>
      <x:c r="I38" s="121" t="str">
        <x:v>不定期</x:v>
      </x:c>
      <x:c r="J38" s="121" t="str">
        <x:v>確認教學敘事名稱</x:v>
      </x:c>
      <x:c r="K38" s="121" t="str">
        <x:v>不提供本遊戲參數依據</x:v>
      </x:c>
      <x:c r="L38" s="121" t="str">
        <x:v>https://www.navy.mil/Resources/Fact-Files/Display-FactFiles/Article/2169229/tomahawk-cruise-missile/</x:v>
      </x:c>
      <x:c r="M38" s="121" t="str">
        <x:v>2026-07-28</x:v>
      </x:c>
    </x:row>
    <x:row r="39" ht="40" customHeight="1">
      <x:c r="A39" s="122" t="str">
        <x:v>SRC-036</x:v>
      </x:c>
      <x:c r="B39" s="122" t="str">
        <x:v>Aegis Weapon System / Arleigh Burke</x:v>
      </x:c>
      <x:c r="C39" s="122" t="str">
        <x:v>具名資源／公開名稱</x:v>
      </x:c>
      <x:c r="D39" s="122" t="str">
        <x:v>United States Navy</x:v>
      </x:c>
      <x:c r="E39" s="122" t="str">
        <x:v>官方公開</x:v>
      </x:c>
      <x:c r="F39" s="122" t="str">
        <x:v>HTML</x:v>
      </x:c>
      <x:c r="G39" s="122" t="str">
        <x:v>公開艦型與系統名稱</x:v>
      </x:c>
      <x:c r="H39" s="122" t="str">
        <x:v>Public domain / site terms</x:v>
      </x:c>
      <x:c r="I39" s="122" t="str">
        <x:v>不定期</x:v>
      </x:c>
      <x:c r="J39" s="122" t="str">
        <x:v>確認教學敘事名稱</x:v>
      </x:c>
      <x:c r="K39" s="122" t="str">
        <x:v>不提供本遊戲參數依據</x:v>
      </x:c>
      <x:c r="L39" s="122" t="str">
        <x:v>https://www.navy.mil/Resources/Fact-Files/Display-FactFiles/Article/2166739/aegis-weapon-system/</x:v>
      </x:c>
      <x:c r="M39" s="122" t="str">
        <x:v>2026-07-28</x:v>
      </x:c>
    </x:row>
    <x:row r="40" ht="40" customHeight="1">
      <x:c r="A40" s="121" t="str">
        <x:v>SRC-037</x:v>
      </x:c>
      <x:c r="B40" s="121" t="str">
        <x:v>Taiwan location map.svg</x:v>
      </x:c>
      <x:c r="C40" s="121" t="str">
        <x:v>地圖</x:v>
      </x:c>
      <x:c r="D40" s="121" t="str">
        <x:v>Wikimedia Commons</x:v>
      </x:c>
      <x:c r="E40" s="121" t="str">
        <x:v>公開</x:v>
      </x:c>
      <x:c r="F40" s="121" t="str">
        <x:v>SVG</x:v>
      </x:c>
      <x:c r="G40" s="121" t="str">
        <x:v>台海區域示意底圖</x:v>
      </x:c>
      <x:c r="H40" s="121" t="str">
        <x:v>依檔案頁授權</x:v>
      </x:c>
      <x:c r="I40" s="121" t="str">
        <x:v>版本更新</x:v>
      </x:c>
      <x:c r="J40" s="121" t="str">
        <x:v>動畫底圖來源</x:v>
      </x:c>
      <x:c r="K40" s="121" t="str">
        <x:v>僅為概略示意，不代表精確位置</x:v>
      </x:c>
      <x:c r="L40" s="121" t="str">
        <x:v>https://commons.wikimedia.org/wiki/File:Taiwan_location_map.svg</x:v>
      </x:c>
      <x:c r="M40" s="121" t="str">
        <x:v>2026-07-28</x:v>
      </x:c>
    </x:row>
    <x:row r="41" ht="40" customHeight="1">
      <x:c r="A41" s="122" t="str">
        <x:v>SRC-038</x:v>
      </x:c>
      <x:c r="B41" s="122" t="str">
        <x:v>Lights Out? Wargaming a Chinese Blockade of Taiwan</x:v>
      </x:c>
      <x:c r="C41" s="122" t="str">
        <x:v>情境案例</x:v>
      </x:c>
      <x:c r="D41" s="122" t="str">
        <x:v>Center for Strategic and International Studies</x:v>
      </x:c>
      <x:c r="E41" s="122" t="str">
        <x:v>智庫公開</x:v>
      </x:c>
      <x:c r="F41" s="122" t="str">
        <x:v>HTML</x:v>
      </x:c>
      <x:c r="G41" s="122" t="str">
        <x:v>封鎖、能源與商運壓力案例</x:v>
      </x:c>
      <x:c r="H41" s="122" t="str">
        <x:v>依網站引用規範</x:v>
      </x:c>
      <x:c r="I41" s="122" t="str">
        <x:v>版本發布</x:v>
      </x:c>
      <x:c r="J41" s="122" t="str">
        <x:v>CSIS 燈火管制情境的案例來源</x:v>
      </x:c>
      <x:c r="K41" s="122" t="str">
        <x:v>案例假設不等於預測</x:v>
      </x:c>
      <x:c r="L41" s="122" t="str">
        <x:v>https://www.csis.org/analysis/lights-out-wargaming-chinese-blockade-taiwan</x:v>
      </x:c>
      <x:c r="M41" s="122" t="str">
        <x:v>2026-07-28</x:v>
      </x:c>
    </x:row>
    <x:row r="42" ht="40" customHeight="1">
      <x:c r="A42" s="121" t="str">
        <x:v>SRC-039</x:v>
      </x:c>
      <x:c r="B42" s="121" t="str">
        <x:v>Confronting Armageddon</x:v>
      </x:c>
      <x:c r="C42" s="121" t="str">
        <x:v>情境案例</x:v>
      </x:c>
      <x:c r="D42" s="121" t="str">
        <x:v>Center for Strategic and International Studies</x:v>
      </x:c>
      <x:c r="E42" s="121" t="str">
        <x:v>智庫公開</x:v>
      </x:c>
      <x:c r="F42" s="121" t="str">
        <x:v>HTML</x:v>
      </x:c>
      <x:c r="G42" s="121" t="str">
        <x:v>核升級風險兵推案例</x:v>
      </x:c>
      <x:c r="H42" s="121" t="str">
        <x:v>依網站引用規範</x:v>
      </x:c>
      <x:c r="I42" s="121" t="str">
        <x:v>版本發布</x:v>
      </x:c>
      <x:c r="J42" s="121" t="str">
        <x:v>核升級風險情境的案例來源</x:v>
      </x:c>
      <x:c r="K42" s="121" t="str">
        <x:v>本遊戲只保留抽象風險，不含核武運用細節</x:v>
      </x:c>
      <x:c r="L42" s="121" t="str">
        <x:v>https://www.csis.org/analysis/confronting-armageddon</x:v>
      </x:c>
      <x:c r="M42" s="121" t="str">
        <x:v>2026-07-28</x:v>
      </x:c>
    </x:row>
    <x:row r="43" ht="40" customHeight="1">
      <x:c r="A43" s="122" t="str">
        <x:v>SRC-040</x:v>
      </x:c>
      <x:c r="B43" s="122" t="str">
        <x:v>Flagship Games</x:v>
      </x:c>
      <x:c r="C43" s="122" t="str">
        <x:v>情境案例</x:v>
      </x:c>
      <x:c r="D43" s="122" t="str">
        <x:v>MIT Security Studies Program</x:v>
      </x:c>
      <x:c r="E43" s="122" t="str">
        <x:v>學術公開</x:v>
      </x:c>
      <x:c r="F43" s="122" t="str">
        <x:v>HTML</x:v>
      </x:c>
      <x:c r="G43" s="122" t="str">
        <x:v>政策與戰略兵推案例</x:v>
      </x:c>
      <x:c r="H43" s="122" t="str">
        <x:v>依網站引用規範</x:v>
      </x:c>
      <x:c r="I43" s="122" t="str">
        <x:v>不定期</x:v>
      </x:c>
      <x:c r="J43" s="122" t="str">
        <x:v>核升級風險情境的補充來源</x:v>
      </x:c>
      <x:c r="K43" s="122" t="str">
        <x:v>案例不可直接轉作作戰參數</x:v>
      </x:c>
      <x:c r="L43" s="122" t="str">
        <x:v>https://ssp.mit.edu/wargaming-lab/flagship-games</x:v>
      </x:c>
      <x:c r="M43" s="122" t="str">
        <x:v>2026-07-28</x:v>
      </x:c>
    </x:row>
    <x:row r="44" ht="40" customHeight="1">
      <x:c r="A44" s="121" t="str">
        <x:v>SRC-041</x:v>
      </x:c>
      <x:c r="B44" s="121" t="str">
        <x:v>Bad Blood: The TTX for the House Select Committee on the CCP</x:v>
      </x:c>
      <x:c r="C44" s="121" t="str">
        <x:v>情境案例</x:v>
      </x:c>
      <x:c r="D44" s="121" t="str">
        <x:v>Center for a New American Security</x:v>
      </x:c>
      <x:c r="E44" s="121" t="str">
        <x:v>智庫公開</x:v>
      </x:c>
      <x:c r="F44" s="121" t="str">
        <x:v>HTML</x:v>
      </x:c>
      <x:c r="G44" s="121" t="str">
        <x:v>彈藥持續性與全球經濟衝擊案例</x:v>
      </x:c>
      <x:c r="H44" s="121" t="str">
        <x:v>依網站引用規範</x:v>
      </x:c>
      <x:c r="I44" s="121" t="str">
        <x:v>版本發布</x:v>
      </x:c>
      <x:c r="J44" s="121" t="str">
        <x:v>CNAS 政策級情境的案例來源</x:v>
      </x:c>
      <x:c r="K44" s="121" t="str">
        <x:v>案例假設不等於真實庫存或預測</x:v>
      </x:c>
      <x:c r="L44" s="121" t="str">
        <x:v>https://www.cnas.org/publications/congressional-testimony/bad-blood-ttx</x:v>
      </x:c>
      <x:c r="M44" s="121" t="str">
        <x:v>2026-07-28</x:v>
      </x:c>
    </x:row>
  </x:sheetData>
  <x:mergeCells>
    <x:mergeCell ref="A1:M1"/>
    <x:mergeCell ref="A2:M2"/>
  </x:mergeCells>
  <x:conditionalFormatting sqref="A4:M19">
    <x:cfRule type="expression" dxfId="0" priority="1">
      <x:formula>OR($E4="官方公開",$E4="智庫公開",$E4="研究公開",$E4="學術公開",$E4="開放資料",$E4="公共領域",$E4="國際公開")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ae3797f2c94747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4" width="14" customWidth="1"/>
    <x:col min="5" max="5" width="22" customWidth="1"/>
    <x:col min="6" max="6" width="42" customWidth="1"/>
    <x:col min="7" max="7" width="56" customWidth="1"/>
  </x:cols>
  <x:sheetData>
    <x:row r="1" ht="40" customHeight="1">
      <x:c r="A1" s="13" t="s">
        <x:v>0</x:v>
      </x:c>
      <x:c r="B1" s="14"/>
      <x:c r="C1" s="14"/>
      <x:c r="D1" s="14"/>
      <x:c r="E1" s="14"/>
      <x:c r="F1" s="14"/>
      <x:c r="G1" s="14"/>
    </x:row>
    <x:row r="3" ht="16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</x:row>
    <x:row r="4" ht="15">
      <x:c r="A4" s="4" t="s">
        <x:v>8</x:v>
      </x:c>
      <x:c r="B4" s="4">
        <x:v>6</x:v>
      </x:c>
      <x:c r="C4" s="4">
        <x:v>8</x:v>
      </x:c>
      <x:c r="D4" s="4">
        <x:v>1</x:v>
      </x:c>
      <x:c r="E4" s="4">
        <x:v>2</x:v>
      </x:c>
      <x:c r="F4" s="4" t="s">
        <x:v>9</x:v>
      </x:c>
      <x:c r="G4" s="4" t="s">
        <x:v>10</x:v>
      </x:c>
    </x:row>
    <x:row r="5" ht="15">
      <x:c r="A5" s="4" t="s">
        <x:v>11</x:v>
      </x:c>
      <x:c r="B5" s="4">
        <x:v>1</x:v>
      </x:c>
      <x:c r="C5" s="4">
        <x:v>8</x:v>
      </x:c>
      <x:c r="D5" s="4">
        <x:v>1</x:v>
      </x:c>
      <x:c r="E5" s="4">
        <x:v>1</x:v>
      </x:c>
      <x:c r="F5" s="4" t="s">
        <x:v>12</x:v>
      </x:c>
      <x:c r="G5" s="4" t="s">
        <x:v>13</x:v>
      </x:c>
    </x:row>
    <x:row r="6" ht="15">
      <x:c r="A6" s="4" t="s">
        <x:v>14</x:v>
      </x:c>
      <x:c r="B6" s="4">
        <x:v>7</x:v>
      </x:c>
      <x:c r="C6" s="4">
        <x:v>8</x:v>
      </x:c>
      <x:c r="D6" s="4">
        <x:v>5</x:v>
      </x:c>
      <x:c r="E6" s="4">
        <x:v>7</x:v>
      </x:c>
      <x:c r="F6" s="4" t="s">
        <x:v>15</x:v>
      </x:c>
      <x:c r="G6" s="4" t="s">
        <x:v>16</x:v>
      </x:c>
    </x:row>
    <x:row r="7" ht="30">
      <x:c r="A7" s="4" t="s">
        <x:v>17</x:v>
      </x:c>
      <x:c r="B7" s="4">
        <x:v>4</x:v>
      </x:c>
      <x:c r="C7" s="4">
        <x:v>9</x:v>
      </x:c>
      <x:c r="D7" s="4">
        <x:v>3</x:v>
      </x:c>
      <x:c r="E7" s="4">
        <x:v>3</x:v>
      </x:c>
      <x:c r="F7" s="4" t="s">
        <x:v>18</x:v>
      </x:c>
      <x:c r="G7" s="4" t="s">
        <x:v>19</x:v>
      </x:c>
    </x:row>
    <x:row r="8" ht="30">
      <x:c r="A8" s="4" t="s">
        <x:v>20</x:v>
      </x:c>
      <x:c r="B8" s="4">
        <x:v>6</x:v>
      </x:c>
      <x:c r="C8" s="4">
        <x:v>7</x:v>
      </x:c>
      <x:c r="D8" s="4">
        <x:v>3</x:v>
      </x:c>
      <x:c r="E8" s="4">
        <x:v>1</x:v>
      </x:c>
      <x:c r="F8" s="4" t="s">
        <x:v>21</x:v>
      </x:c>
      <x:c r="G8" s="4" t="s">
        <x:v>22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78c95a67a9a4dc0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36" customWidth="1"/>
    <x:col min="3" max="3" width="20" customWidth="1"/>
    <x:col min="4" max="4" width="14" customWidth="1"/>
    <x:col min="5" max="5" width="10" customWidth="1"/>
    <x:col min="6" max="6" width="14" customWidth="1"/>
    <x:col min="7" max="7" width="16" customWidth="1"/>
    <x:col min="8" max="8" width="18" customWidth="1"/>
    <x:col min="9" max="9" width="20" customWidth="1"/>
    <x:col min="10" max="10" width="22" customWidth="1"/>
    <x:col min="11" max="11" width="52" customWidth="1"/>
    <x:col min="12" max="12" width="62" customWidth="1"/>
  </x:cols>
  <x:sheetData>
    <x:row r="1" ht="40" customHeight="1">
      <x:c r="A1" s="16" t="s">
        <x:v>23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 ht="32">
      <x:c r="A3" s="12" t="s">
        <x:v>24</x:v>
      </x:c>
      <x:c r="B3" s="12" t="s">
        <x:v>25</x:v>
      </x:c>
      <x:c r="C3" s="12" t="s">
        <x:v>26</x:v>
      </x:c>
      <x:c r="D3" s="12" t="s">
        <x:v>27</x:v>
      </x:c>
      <x:c r="E3" s="12" t="s">
        <x:v>28</x:v>
      </x:c>
      <x:c r="F3" s="12" t="s">
        <x:v>29</x:v>
      </x:c>
      <x:c r="G3" s="12" t="s">
        <x:v>30</x:v>
      </x:c>
      <x:c r="H3" s="12" t="s">
        <x:v>31</x:v>
      </x:c>
      <x:c r="I3" s="12" t="s">
        <x:v>32</x:v>
      </x:c>
      <x:c r="J3" s="12" t="s">
        <x:v>33</x:v>
      </x:c>
      <x:c r="K3" s="12" t="s">
        <x:v>34</x:v>
      </x:c>
      <x:c r="L3" s="12" t="s">
        <x:v>35</x:v>
      </x:c>
    </x:row>
    <x:row r="4">
      <x:c r="A4" s="10" t="s">
        <x:v>36</x:v>
      </x:c>
      <x:c r="B4" s="10" t="s">
        <x:v>37</x:v>
      </x:c>
      <x:c r="C4" s="10" t="s">
        <x:v>38</x:v>
      </x:c>
      <x:c r="D4" s="10" t="s">
        <x:v>39</x:v>
      </x:c>
      <x:c r="E4" s="10">
        <x:v>12</x:v>
      </x:c>
      <x:c r="F4" s="10">
        <x:v>6</x:v>
      </x:c>
      <x:c r="G4" s="10" t="s">
        <x:v>40</x:v>
      </x:c>
      <x:c r="H4" s="10" t="s">
        <x:v>41</x:v>
      </x:c>
      <x:c r="I4" s="10" t="s">
        <x:v>42</x:v>
      </x:c>
      <x:c r="J4" s="10" t="s">
        <x:v>43</x:v>
      </x:c>
      <x:c r="K4" s="10" t="s">
        <x:v>44</x:v>
      </x:c>
      <x:c r="L4" s="10" t="s">
        <x:v>45</x:v>
      </x:c>
    </x:row>
    <x:row r="5">
      <x:c r="A5" s="11" t="s">
        <x:v>46</x:v>
      </x:c>
      <x:c r="B5" s="11" t="s">
        <x:v>47</x:v>
      </x:c>
      <x:c r="C5" s="11" t="s">
        <x:v>48</x:v>
      </x:c>
      <x:c r="D5" s="11" t="s">
        <x:v>49</x:v>
      </x:c>
      <x:c r="E5" s="11">
        <x:v>8</x:v>
      </x:c>
      <x:c r="F5" s="11">
        <x:v>6</x:v>
      </x:c>
      <x:c r="G5" s="11" t="s">
        <x:v>50</x:v>
      </x:c>
      <x:c r="H5" s="11" t="s">
        <x:v>48</x:v>
      </x:c>
      <x:c r="I5" s="11" t="s">
        <x:v>42</x:v>
      </x:c>
      <x:c r="J5" s="11" t="s">
        <x:v>43</x:v>
      </x:c>
      <x:c r="K5" s="11" t="s">
        <x:v>44</x:v>
      </x:c>
      <x:c r="L5" s="11" t="s">
        <x:v>45</x:v>
      </x:c>
    </x:row>
    <x:row r="6">
      <x:c r="A6" s="10" t="s">
        <x:v>51</x:v>
      </x:c>
      <x:c r="B6" s="10" t="s">
        <x:v>52</x:v>
      </x:c>
      <x:c r="C6" s="10" t="s">
        <x:v>53</x:v>
      </x:c>
      <x:c r="D6" s="10" t="s">
        <x:v>39</x:v>
      </x:c>
      <x:c r="E6" s="10">
        <x:v>16</x:v>
      </x:c>
      <x:c r="F6" s="10">
        <x:v>6</x:v>
      </x:c>
      <x:c r="G6" s="10" t="s">
        <x:v>54</x:v>
      </x:c>
      <x:c r="H6" s="10" t="s">
        <x:v>53</x:v>
      </x:c>
      <x:c r="I6" s="10" t="s">
        <x:v>55</x:v>
      </x:c>
      <x:c r="J6" s="10" t="s">
        <x:v>56</x:v>
      </x:c>
      <x:c r="K6" s="10" t="s">
        <x:v>44</x:v>
      </x:c>
      <x:c r="L6" s="10" t="s">
        <x:v>45</x:v>
      </x:c>
    </x:row>
    <x:row r="7">
      <x:c r="A7" s="11" t="s">
        <x:v>57</x:v>
      </x:c>
      <x:c r="B7" s="11" t="s">
        <x:v>58</x:v>
      </x:c>
      <x:c r="C7" s="11" t="s">
        <x:v>59</x:v>
      </x:c>
      <x:c r="D7" s="11" t="s">
        <x:v>49</x:v>
      </x:c>
      <x:c r="E7" s="11">
        <x:v>10</x:v>
      </x:c>
      <x:c r="F7" s="11">
        <x:v>6</x:v>
      </x:c>
      <x:c r="G7" s="11" t="s">
        <x:v>60</x:v>
      </x:c>
      <x:c r="H7" s="11" t="s">
        <x:v>61</x:v>
      </x:c>
      <x:c r="I7" s="11" t="s">
        <x:v>42</x:v>
      </x:c>
      <x:c r="J7" s="11" t="s">
        <x:v>62</x:v>
      </x:c>
      <x:c r="K7" s="11" t="s">
        <x:v>44</x:v>
      </x:c>
      <x:c r="L7" s="11" t="s">
        <x:v>45</x:v>
      </x:c>
    </x:row>
    <x:row r="8">
      <x:c r="A8" s="10" t="s">
        <x:v>63</x:v>
      </x:c>
      <x:c r="B8" s="10" t="s">
        <x:v>64</x:v>
      </x:c>
      <x:c r="C8" s="10" t="s">
        <x:v>65</x:v>
      </x:c>
      <x:c r="D8" s="10" t="s">
        <x:v>39</x:v>
      </x:c>
      <x:c r="E8" s="10">
        <x:v>10</x:v>
      </x:c>
      <x:c r="F8" s="10">
        <x:v>6</x:v>
      </x:c>
      <x:c r="G8" s="10" t="s">
        <x:v>60</x:v>
      </x:c>
      <x:c r="H8" s="10" t="s">
        <x:v>66</x:v>
      </x:c>
      <x:c r="I8" s="10" t="s">
        <x:v>55</x:v>
      </x:c>
      <x:c r="J8" s="10" t="s">
        <x:v>43</x:v>
      </x:c>
      <x:c r="K8" s="10" t="s">
        <x:v>44</x:v>
      </x:c>
      <x:c r="L8" s="10" t="s">
        <x:v>45</x:v>
      </x:c>
    </x:row>
    <x:row r="9">
      <x:c r="A9" s="11" t="s">
        <x:v>67</x:v>
      </x:c>
      <x:c r="B9" s="11" t="s">
        <x:v>68</x:v>
      </x:c>
      <x:c r="C9" s="11" t="s">
        <x:v>69</x:v>
      </x:c>
      <x:c r="D9" s="11" t="s">
        <x:v>49</x:v>
      </x:c>
      <x:c r="E9" s="11">
        <x:v>8</x:v>
      </x:c>
      <x:c r="F9" s="11">
        <x:v>6</x:v>
      </x:c>
      <x:c r="G9" s="11" t="s">
        <x:v>50</x:v>
      </x:c>
      <x:c r="H9" s="11" t="s">
        <x:v>70</x:v>
      </x:c>
      <x:c r="I9" s="11" t="s">
        <x:v>42</x:v>
      </x:c>
      <x:c r="J9" s="11" t="s">
        <x:v>62</x:v>
      </x:c>
      <x:c r="K9" s="11" t="s">
        <x:v>44</x:v>
      </x:c>
      <x:c r="L9" s="11" t="s">
        <x:v>45</x:v>
      </x:c>
    </x:row>
    <x:row r="10" ht="28">
      <x:c r="A10" s="10" t="s">
        <x:v>71</x:v>
      </x:c>
      <x:c r="B10" s="10" t="s">
        <x:v>72</x:v>
      </x:c>
      <x:c r="C10" s="10" t="s">
        <x:v>73</x:v>
      </x:c>
      <x:c r="D10" s="10" t="s">
        <x:v>49</x:v>
      </x:c>
      <x:c r="E10" s="10">
        <x:v>20</x:v>
      </x:c>
      <x:c r="F10" s="10">
        <x:v>12</x:v>
      </x:c>
      <x:c r="G10" s="10" t="s">
        <x:v>74</x:v>
      </x:c>
      <x:c r="H10" s="10" t="s">
        <x:v>53</x:v>
      </x:c>
      <x:c r="I10" s="10" t="s">
        <x:v>55</x:v>
      </x:c>
      <x:c r="J10" s="10" t="s">
        <x:v>43</x:v>
      </x:c>
      <x:c r="K10" s="10" t="s">
        <x:v>75</x:v>
      </x:c>
      <x:c r="L10" s="10" t="s">
        <x:v>45</x:v>
      </x:c>
    </x:row>
    <x:row r="11">
      <x:c r="A11" s="11" t="s">
        <x:v>76</x:v>
      </x:c>
      <x:c r="B11" s="11" t="s">
        <x:v>77</x:v>
      </x:c>
      <x:c r="C11" s="11" t="s">
        <x:v>78</x:v>
      </x:c>
      <x:c r="D11" s="11" t="s">
        <x:v>49</x:v>
      </x:c>
      <x:c r="E11" s="11">
        <x:v>12</x:v>
      </x:c>
      <x:c r="F11" s="11">
        <x:v>6</x:v>
      </x:c>
      <x:c r="G11" s="11" t="s">
        <x:v>40</x:v>
      </x:c>
      <x:c r="H11" s="11" t="s">
        <x:v>70</x:v>
      </x:c>
      <x:c r="I11" s="11" t="s">
        <x:v>55</x:v>
      </x:c>
      <x:c r="J11" s="11" t="s">
        <x:v>62</x:v>
      </x:c>
      <x:c r="K11" s="11" t="s">
        <x:v>44</x:v>
      </x:c>
      <x:c r="L11" s="11" t="s">
        <x:v>45</x:v>
      </x:c>
    </x:row>
    <x:row r="12" ht="28">
      <x:c r="A12" s="10" t="s">
        <x:v>79</x:v>
      </x:c>
      <x:c r="B12" s="10" t="s">
        <x:v>80</x:v>
      </x:c>
      <x:c r="C12" s="10" t="s">
        <x:v>81</x:v>
      </x:c>
      <x:c r="D12" s="10" t="s">
        <x:v>49</x:v>
      </x:c>
      <x:c r="E12" s="10">
        <x:v>14</x:v>
      </x:c>
      <x:c r="F12" s="10">
        <x:v>12</x:v>
      </x:c>
      <x:c r="G12" s="10" t="s">
        <x:v>82</x:v>
      </x:c>
      <x:c r="H12" s="10" t="s">
        <x:v>41</x:v>
      </x:c>
      <x:c r="I12" s="10" t="s">
        <x:v>55</x:v>
      </x:c>
      <x:c r="J12" s="10" t="s">
        <x:v>43</x:v>
      </x:c>
      <x:c r="K12" s="10" t="s">
        <x:v>75</x:v>
      </x:c>
      <x:c r="L12" s="10" t="s">
        <x:v>45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7509b26a7c44e02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4" customWidth="1"/>
    <x:col min="3" max="3" width="18" customWidth="1"/>
    <x:col min="4" max="5" width="48" customWidth="1"/>
    <x:col min="6" max="6" width="18" customWidth="1"/>
  </x:cols>
  <x:sheetData>
    <x:row r="1" ht="40" customHeight="1">
      <x:c r="A1" s="13" t="s">
        <x:v>83</x:v>
      </x:c>
      <x:c r="B1" s="14"/>
      <x:c r="C1" s="14"/>
      <x:c r="D1" s="14"/>
      <x:c r="E1" s="14"/>
      <x:c r="F1" s="14"/>
    </x:row>
    <x:row r="3" ht="16">
      <x:c r="A3" s="1" t="s">
        <x:v>84</x:v>
      </x:c>
      <x:c r="B3" s="1" t="s">
        <x:v>85</x:v>
      </x:c>
      <x:c r="C3" s="1" t="s">
        <x:v>86</x:v>
      </x:c>
      <x:c r="D3" s="1" t="s">
        <x:v>87</x:v>
      </x:c>
      <x:c r="E3" s="1" t="s">
        <x:v>88</x:v>
      </x:c>
      <x:c r="F3" s="1" t="s">
        <x:v>89</x:v>
      </x:c>
    </x:row>
    <x:row r="4" ht="15">
      <x:c r="A4" s="5" t="s">
        <x:v>90</x:v>
      </x:c>
      <x:c r="B4" s="5" t="s">
        <x:v>91</x:v>
      </x:c>
      <x:c r="C4" s="5" t="s">
        <x:v>92</x:v>
      </x:c>
      <x:c r="D4" s="5" t="s">
        <x:v>93</x:v>
      </x:c>
      <x:c r="E4" s="5" t="s">
        <x:v>94</x:v>
      </x:c>
      <x:c r="F4" s="5" t="s">
        <x:v>95</x:v>
      </x:c>
    </x:row>
    <x:row r="5" ht="15">
      <x:c r="A5" s="5" t="s">
        <x:v>96</x:v>
      </x:c>
      <x:c r="B5" s="5" t="s">
        <x:v>97</x:v>
      </x:c>
      <x:c r="C5" s="5" t="s">
        <x:v>98</x:v>
      </x:c>
      <x:c r="D5" s="5" t="s">
        <x:v>99</x:v>
      </x:c>
      <x:c r="E5" s="5" t="s">
        <x:v>100</x:v>
      </x:c>
      <x:c r="F5" s="5" t="s">
        <x:v>95</x:v>
      </x:c>
    </x:row>
    <x:row r="6" ht="15">
      <x:c r="A6" s="5" t="s">
        <x:v>101</x:v>
      </x:c>
      <x:c r="B6" s="5" t="s">
        <x:v>102</x:v>
      </x:c>
      <x:c r="C6" s="5" t="s">
        <x:v>103</x:v>
      </x:c>
      <x:c r="D6" s="5" t="s">
        <x:v>104</x:v>
      </x:c>
      <x:c r="E6" s="5" t="s">
        <x:v>105</x:v>
      </x:c>
      <x:c r="F6" s="5" t="s">
        <x:v>106</x:v>
      </x:c>
    </x:row>
    <x:row r="7" ht="15">
      <x:c r="A7" s="5" t="s">
        <x:v>107</x:v>
      </x:c>
      <x:c r="B7" s="5" t="s">
        <x:v>108</x:v>
      </x:c>
      <x:c r="C7" s="5" t="s">
        <x:v>109</x:v>
      </x:c>
      <x:c r="D7" s="5" t="s">
        <x:v>110</x:v>
      </x:c>
      <x:c r="E7" s="5" t="s">
        <x:v>111</x:v>
      </x:c>
      <x:c r="F7" s="5" t="s">
        <x:v>112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e4a8059fd194381"/>
  </x:tableParts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2" customWidth="1"/>
    <x:col min="2" max="2" width="22" customWidth="1"/>
    <x:col min="3" max="3" width="14" customWidth="1"/>
    <x:col min="4" max="7" width="18" customWidth="1"/>
    <x:col min="8" max="8" width="52" customWidth="1"/>
  </x:cols>
  <x:sheetData>
    <x:row r="1" ht="40" customHeight="1">
      <x:c r="A1" s="13" t="s">
        <x:v>113</x:v>
      </x:c>
      <x:c r="B1" s="14"/>
      <x:c r="C1" s="14"/>
      <x:c r="D1" s="14"/>
      <x:c r="E1" s="14"/>
      <x:c r="F1" s="14"/>
      <x:c r="G1" s="14"/>
      <x:c r="H1" s="14"/>
    </x:row>
    <x:row r="3" ht="16">
      <x:c r="A3" s="1" t="s">
        <x:v>114</x:v>
      </x:c>
      <x:c r="B3" s="1" t="s">
        <x:v>115</x:v>
      </x:c>
      <x:c r="C3" s="1" t="s">
        <x:v>116</x:v>
      </x:c>
      <x:c r="D3" s="1" t="s">
        <x:v>117</x:v>
      </x:c>
      <x:c r="E3" s="1" t="s">
        <x:v>118</x:v>
      </x:c>
      <x:c r="F3" s="1" t="s">
        <x:v>119</x:v>
      </x:c>
      <x:c r="G3" s="1" t="s">
        <x:v>120</x:v>
      </x:c>
      <x:c r="H3" s="1" t="s">
        <x:v>121</x:v>
      </x:c>
    </x:row>
    <x:row r="4" ht="15">
      <x:c r="A4" s="5" t="s">
        <x:v>122</x:v>
      </x:c>
      <x:c r="B4" s="5" t="s">
        <x:v>123</x:v>
      </x:c>
      <x:c r="C4" s="5" t="s">
        <x:v>124</x:v>
      </x:c>
      <x:c r="D4" s="5" t="s">
        <x:v>125</x:v>
      </x:c>
      <x:c r="E4" s="5" t="s">
        <x:v>126</x:v>
      </x:c>
      <x:c r="F4" s="5" t="s">
        <x:v>127</x:v>
      </x:c>
      <x:c r="G4" s="5" t="s">
        <x:v>126</x:v>
      </x:c>
      <x:c r="H4" s="5" t="s">
        <x:v>128</x:v>
      </x:c>
    </x:row>
    <x:row r="5" ht="15">
      <x:c r="A5" s="5" t="s">
        <x:v>129</x:v>
      </x:c>
      <x:c r="B5" s="5" t="s">
        <x:v>130</x:v>
      </x:c>
      <x:c r="C5" s="5" t="s">
        <x:v>124</x:v>
      </x:c>
      <x:c r="D5" s="5" t="s">
        <x:v>131</x:v>
      </x:c>
      <x:c r="E5" s="5" t="s">
        <x:v>127</x:v>
      </x:c>
      <x:c r="F5" s="5" t="s">
        <x:v>126</x:v>
      </x:c>
      <x:c r="G5" s="5" t="s">
        <x:v>127</x:v>
      </x:c>
      <x:c r="H5" s="5" t="s">
        <x:v>132</x:v>
      </x:c>
    </x:row>
    <x:row r="6" ht="15">
      <x:c r="A6" s="5" t="s">
        <x:v>133</x:v>
      </x:c>
      <x:c r="B6" s="5" t="s">
        <x:v>134</x:v>
      </x:c>
      <x:c r="C6" s="5" t="s">
        <x:v>124</x:v>
      </x:c>
      <x:c r="D6" s="5" t="s">
        <x:v>135</x:v>
      </x:c>
      <x:c r="E6" s="5" t="s">
        <x:v>127</x:v>
      </x:c>
      <x:c r="F6" s="5" t="s">
        <x:v>127</x:v>
      </x:c>
      <x:c r="G6" s="5" t="s">
        <x:v>126</x:v>
      </x:c>
      <x:c r="H6" s="5" t="s">
        <x:v>136</x:v>
      </x:c>
    </x:row>
    <x:row r="7" ht="15">
      <x:c r="A7" s="5" t="s">
        <x:v>137</x:v>
      </x:c>
      <x:c r="B7" s="5" t="s">
        <x:v>138</x:v>
      </x:c>
      <x:c r="C7" s="5" t="s">
        <x:v>124</x:v>
      </x:c>
      <x:c r="D7" s="5" t="s">
        <x:v>139</x:v>
      </x:c>
      <x:c r="E7" s="5" t="s">
        <x:v>126</x:v>
      </x:c>
      <x:c r="F7" s="5" t="s">
        <x:v>140</x:v>
      </x:c>
      <x:c r="G7" s="5" t="s">
        <x:v>127</x:v>
      </x:c>
      <x:c r="H7" s="5" t="s">
        <x:v>141</x:v>
      </x:c>
    </x:row>
    <x:row r="8" ht="15">
      <x:c r="A8" s="5" t="s">
        <x:v>142</x:v>
      </x:c>
      <x:c r="B8" s="5" t="s">
        <x:v>143</x:v>
      </x:c>
      <x:c r="C8" s="5" t="s">
        <x:v>124</x:v>
      </x:c>
      <x:c r="D8" s="5" t="s">
        <x:v>139</x:v>
      </x:c>
      <x:c r="E8" s="5" t="s">
        <x:v>126</x:v>
      </x:c>
      <x:c r="F8" s="5" t="s">
        <x:v>140</x:v>
      </x:c>
      <x:c r="G8" s="5" t="s">
        <x:v>127</x:v>
      </x:c>
      <x:c r="H8" s="5" t="s">
        <x:v>144</x:v>
      </x:c>
    </x:row>
    <x:row r="9" ht="15">
      <x:c r="A9" s="5" t="s">
        <x:v>145</x:v>
      </x:c>
      <x:c r="B9" s="5" t="s">
        <x:v>146</x:v>
      </x:c>
      <x:c r="C9" s="5" t="s">
        <x:v>124</x:v>
      </x:c>
      <x:c r="D9" s="5" t="s">
        <x:v>139</x:v>
      </x:c>
      <x:c r="E9" s="5" t="s">
        <x:v>126</x:v>
      </x:c>
      <x:c r="F9" s="5" t="s">
        <x:v>126</x:v>
      </x:c>
      <x:c r="G9" s="5" t="s">
        <x:v>126</x:v>
      </x:c>
      <x:c r="H9" s="5" t="s">
        <x:v>147</x:v>
      </x:c>
    </x:row>
    <x:row r="10" ht="15">
      <x:c r="A10" s="5" t="s">
        <x:v>148</x:v>
      </x:c>
      <x:c r="B10" s="5" t="s">
        <x:v>149</x:v>
      </x:c>
      <x:c r="C10" s="5" t="s">
        <x:v>150</x:v>
      </x:c>
      <x:c r="D10" s="5" t="s">
        <x:v>151</x:v>
      </x:c>
      <x:c r="E10" s="5" t="s">
        <x:v>140</x:v>
      </x:c>
      <x:c r="F10" s="5" t="s">
        <x:v>127</x:v>
      </x:c>
      <x:c r="G10" s="5" t="s">
        <x:v>126</x:v>
      </x:c>
      <x:c r="H10" s="5" t="s">
        <x:v>152</x:v>
      </x:c>
    </x:row>
    <x:row r="11" ht="15">
      <x:c r="A11" s="5" t="s">
        <x:v>153</x:v>
      </x:c>
      <x:c r="B11" s="5" t="s">
        <x:v>154</x:v>
      </x:c>
      <x:c r="C11" s="5" t="s">
        <x:v>155</x:v>
      </x:c>
      <x:c r="D11" s="5" t="s">
        <x:v>156</x:v>
      </x:c>
      <x:c r="E11" s="5" t="s">
        <x:v>140</x:v>
      </x:c>
      <x:c r="F11" s="5" t="s">
        <x:v>140</x:v>
      </x:c>
      <x:c r="G11" s="5" t="s">
        <x:v>127</x:v>
      </x:c>
      <x:c r="H11" s="5" t="s">
        <x:v>157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b23ee1f01004986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2" customWidth="1"/>
    <x:col min="3" max="3" width="28" customWidth="1"/>
    <x:col min="4" max="4" width="16" customWidth="1"/>
    <x:col min="5" max="6" width="12" customWidth="1"/>
    <x:col min="7" max="9" width="14" customWidth="1"/>
    <x:col min="10" max="10" width="16" customWidth="1"/>
    <x:col min="11" max="11" width="10" customWidth="1"/>
    <x:col min="12" max="12" width="12" customWidth="1"/>
  </x:cols>
  <x:sheetData>
    <x:row r="1" ht="40" customHeight="1">
      <x:c r="A1" s="13" t="s">
        <x:v>158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32">
      <x:c r="A3" s="1" t="s">
        <x:v>159</x:v>
      </x:c>
      <x:c r="B3" s="1" t="s">
        <x:v>84</x:v>
      </x:c>
      <x:c r="C3" s="1" t="s">
        <x:v>160</x:v>
      </x:c>
      <x:c r="D3" s="1" t="s">
        <x:v>116</x:v>
      </x:c>
      <x:c r="E3" s="1" t="s">
        <x:v>161</x:v>
      </x:c>
      <x:c r="F3" s="1" t="s">
        <x:v>162</x:v>
      </x:c>
      <x:c r="G3" s="1" t="s">
        <x:v>163</x:v>
      </x:c>
      <x:c r="H3" s="1" t="s">
        <x:v>164</x:v>
      </x:c>
      <x:c r="I3" s="1" t="s">
        <x:v>165</x:v>
      </x:c>
      <x:c r="J3" s="1" t="s">
        <x:v>166</x:v>
      </x:c>
      <x:c r="K3" s="1" t="s">
        <x:v>167</x:v>
      </x:c>
      <x:c r="L3" s="1" t="s">
        <x:v>168</x:v>
      </x:c>
    </x:row>
    <x:row r="4" ht="15">
      <x:c r="A4" s="5" t="s">
        <x:v>169</x:v>
      </x:c>
      <x:c r="B4" s="5" t="s">
        <x:v>90</x:v>
      </x:c>
      <x:c r="C4" s="5" t="s">
        <x:v>170</x:v>
      </x:c>
      <x:c r="D4" s="5" t="s">
        <x:v>171</x:v>
      </x:c>
      <x:c r="E4" s="5" t="s">
        <x:v>148</x:v>
      </x:c>
      <x:c r="F4" s="5">
        <x:v>82</x:v>
      </x:c>
      <x:c r="G4" s="5">
        <x:v>78</x:v>
      </x:c>
      <x:c r="H4" s="5">
        <x:v>90</x:v>
      </x:c>
      <x:c r="I4" s="5">
        <x:v>72</x:v>
      </x:c>
      <x:c r="J4" s="5">
        <x:v>76</x:v>
      </x:c>
      <x:c r="K4" s="5">
        <x:v>4</x:v>
      </x:c>
      <x:c r="L4" s="5" t="s">
        <x:v>172</x:v>
      </x:c>
    </x:row>
    <x:row r="5" ht="15">
      <x:c r="A5" s="5" t="s">
        <x:v>173</x:v>
      </x:c>
      <x:c r="B5" s="5" t="s">
        <x:v>90</x:v>
      </x:c>
      <x:c r="C5" s="5" t="s">
        <x:v>174</x:v>
      </x:c>
      <x:c r="D5" s="5" t="s">
        <x:v>175</x:v>
      </x:c>
      <x:c r="E5" s="5" t="s">
        <x:v>122</x:v>
      </x:c>
      <x:c r="F5" s="5">
        <x:v>76</x:v>
      </x:c>
      <x:c r="G5" s="5">
        <x:v>84</x:v>
      </x:c>
      <x:c r="H5" s="5">
        <x:v>68</x:v>
      </x:c>
      <x:c r="I5" s="5">
        <x:v>74</x:v>
      </x:c>
      <x:c r="J5" s="5">
        <x:v>65</x:v>
      </x:c>
      <x:c r="K5" s="5">
        <x:v>5</x:v>
      </x:c>
      <x:c r="L5" s="5" t="s">
        <x:v>172</x:v>
      </x:c>
    </x:row>
    <x:row r="6" ht="15">
      <x:c r="A6" s="5" t="s">
        <x:v>176</x:v>
      </x:c>
      <x:c r="B6" s="5" t="s">
        <x:v>90</x:v>
      </x:c>
      <x:c r="C6" s="5" t="s">
        <x:v>177</x:v>
      </x:c>
      <x:c r="D6" s="5" t="s">
        <x:v>175</x:v>
      </x:c>
      <x:c r="E6" s="5" t="s">
        <x:v>133</x:v>
      </x:c>
      <x:c r="F6" s="5">
        <x:v>73</x:v>
      </x:c>
      <x:c r="G6" s="5">
        <x:v>82</x:v>
      </x:c>
      <x:c r="H6" s="5">
        <x:v>66</x:v>
      </x:c>
      <x:c r="I6" s="5">
        <x:v>70</x:v>
      </x:c>
      <x:c r="J6" s="5">
        <x:v>62</x:v>
      </x:c>
      <x:c r="K6" s="5">
        <x:v>5</x:v>
      </x:c>
      <x:c r="L6" s="5" t="s">
        <x:v>172</x:v>
      </x:c>
    </x:row>
    <x:row r="7" ht="15">
      <x:c r="A7" s="5" t="s">
        <x:v>178</x:v>
      </x:c>
      <x:c r="B7" s="5" t="s">
        <x:v>90</x:v>
      </x:c>
      <x:c r="C7" s="5" t="s">
        <x:v>179</x:v>
      </x:c>
      <x:c r="D7" s="5" t="s">
        <x:v>180</x:v>
      </x:c>
      <x:c r="E7" s="5" t="s">
        <x:v>129</x:v>
      </x:c>
      <x:c r="F7" s="5">
        <x:v>70</x:v>
      </x:c>
      <x:c r="G7" s="5">
        <x:v>75</x:v>
      </x:c>
      <x:c r="H7" s="5">
        <x:v>72</x:v>
      </x:c>
      <x:c r="I7" s="5">
        <x:v>68</x:v>
      </x:c>
      <x:c r="J7" s="5">
        <x:v>60</x:v>
      </x:c>
      <x:c r="K7" s="5">
        <x:v>4</x:v>
      </x:c>
      <x:c r="L7" s="5" t="s">
        <x:v>172</x:v>
      </x:c>
    </x:row>
    <x:row r="8" ht="15">
      <x:c r="A8" s="5" t="s">
        <x:v>181</x:v>
      </x:c>
      <x:c r="B8" s="5" t="s">
        <x:v>90</x:v>
      </x:c>
      <x:c r="C8" s="5" t="s">
        <x:v>182</x:v>
      </x:c>
      <x:c r="D8" s="5" t="s">
        <x:v>183</x:v>
      </x:c>
      <x:c r="E8" s="5" t="s">
        <x:v>122</x:v>
      </x:c>
      <x:c r="F8" s="5">
        <x:v>68</x:v>
      </x:c>
      <x:c r="G8" s="5">
        <x:v>72</x:v>
      </x:c>
      <x:c r="H8" s="5">
        <x:v>74</x:v>
      </x:c>
      <x:c r="I8" s="5">
        <x:v>66</x:v>
      </x:c>
      <x:c r="J8" s="5">
        <x:v>58</x:v>
      </x:c>
      <x:c r="K8" s="5">
        <x:v>4</x:v>
      </x:c>
      <x:c r="L8" s="5" t="s">
        <x:v>172</x:v>
      </x:c>
    </x:row>
    <x:row r="9" ht="15">
      <x:c r="A9" s="5" t="s">
        <x:v>184</x:v>
      </x:c>
      <x:c r="B9" s="5" t="s">
        <x:v>90</x:v>
      </x:c>
      <x:c r="C9" s="5" t="s">
        <x:v>185</x:v>
      </x:c>
      <x:c r="D9" s="5" t="s">
        <x:v>183</x:v>
      </x:c>
      <x:c r="E9" s="5" t="s">
        <x:v>133</x:v>
      </x:c>
      <x:c r="F9" s="5">
        <x:v>66</x:v>
      </x:c>
      <x:c r="G9" s="5">
        <x:v>70</x:v>
      </x:c>
      <x:c r="H9" s="5">
        <x:v>72</x:v>
      </x:c>
      <x:c r="I9" s="5">
        <x:v>64</x:v>
      </x:c>
      <x:c r="J9" s="5">
        <x:v>56</x:v>
      </x:c>
      <x:c r="K9" s="5">
        <x:v>4</x:v>
      </x:c>
      <x:c r="L9" s="5" t="s">
        <x:v>172</x:v>
      </x:c>
    </x:row>
    <x:row r="10" ht="15">
      <x:c r="A10" s="5" t="s">
        <x:v>186</x:v>
      </x:c>
      <x:c r="B10" s="5" t="s">
        <x:v>90</x:v>
      </x:c>
      <x:c r="C10" s="5" t="s">
        <x:v>187</x:v>
      </x:c>
      <x:c r="D10" s="5" t="s">
        <x:v>188</x:v>
      </x:c>
      <x:c r="E10" s="5" t="s">
        <x:v>148</x:v>
      </x:c>
      <x:c r="F10" s="5">
        <x:v>88</x:v>
      </x:c>
      <x:c r="G10" s="5">
        <x:v>60</x:v>
      </x:c>
      <x:c r="H10" s="5">
        <x:v>82</x:v>
      </x:c>
      <x:c r="I10" s="5">
        <x:v>92</x:v>
      </x:c>
      <x:c r="J10" s="5">
        <x:v>95</x:v>
      </x:c>
      <x:c r="K10" s="5">
        <x:v>3</x:v>
      </x:c>
      <x:c r="L10" s="5" t="s">
        <x:v>172</x:v>
      </x:c>
    </x:row>
    <x:row r="11" ht="15">
      <x:c r="A11" s="5" t="s">
        <x:v>189</x:v>
      </x:c>
      <x:c r="B11" s="5" t="s">
        <x:v>90</x:v>
      </x:c>
      <x:c r="C11" s="5" t="s">
        <x:v>190</x:v>
      </x:c>
      <x:c r="D11" s="5" t="s">
        <x:v>191</x:v>
      </x:c>
      <x:c r="E11" s="5" t="s">
        <x:v>148</x:v>
      </x:c>
      <x:c r="F11" s="5">
        <x:v>90</x:v>
      </x:c>
      <x:c r="G11" s="5">
        <x:v>35</x:v>
      </x:c>
      <x:c r="H11" s="5">
        <x:v>88</x:v>
      </x:c>
      <x:c r="I11" s="5">
        <x:v>86</x:v>
      </x:c>
      <x:c r="J11" s="5">
        <x:v>92</x:v>
      </x:c>
      <x:c r="K11" s="5">
        <x:v>2</x:v>
      </x:c>
      <x:c r="L11" s="5" t="s">
        <x:v>172</x:v>
      </x:c>
    </x:row>
    <x:row r="12" ht="15">
      <x:c r="A12" s="5" t="s">
        <x:v>192</x:v>
      </x:c>
      <x:c r="B12" s="5" t="s">
        <x:v>96</x:v>
      </x:c>
      <x:c r="C12" s="5" t="s">
        <x:v>193</x:v>
      </x:c>
      <x:c r="D12" s="5" t="s">
        <x:v>171</x:v>
      </x:c>
      <x:c r="E12" s="5" t="s">
        <x:v>129</x:v>
      </x:c>
      <x:c r="F12" s="5">
        <x:v>85</x:v>
      </x:c>
      <x:c r="G12" s="5">
        <x:v>80</x:v>
      </x:c>
      <x:c r="H12" s="5">
        <x:v>88</x:v>
      </x:c>
      <x:c r="I12" s="5">
        <x:v>78</x:v>
      </x:c>
      <x:c r="J12" s="5">
        <x:v>82</x:v>
      </x:c>
      <x:c r="K12" s="5">
        <x:v>4</x:v>
      </x:c>
      <x:c r="L12" s="5" t="s">
        <x:v>172</x:v>
      </x:c>
    </x:row>
    <x:row r="13" ht="15">
      <x:c r="A13" s="5" t="s">
        <x:v>194</x:v>
      </x:c>
      <x:c r="B13" s="5" t="s">
        <x:v>96</x:v>
      </x:c>
      <x:c r="C13" s="5" t="s">
        <x:v>195</x:v>
      </x:c>
      <x:c r="D13" s="5" t="s">
        <x:v>180</x:v>
      </x:c>
      <x:c r="E13" s="5" t="s">
        <x:v>122</x:v>
      </x:c>
      <x:c r="F13" s="5">
        <x:v>80</x:v>
      </x:c>
      <x:c r="G13" s="5">
        <x:v>82</x:v>
      </x:c>
      <x:c r="H13" s="5">
        <x:v>76</x:v>
      </x:c>
      <x:c r="I13" s="5">
        <x:v>74</x:v>
      </x:c>
      <x:c r="J13" s="5">
        <x:v>68</x:v>
      </x:c>
      <x:c r="K13" s="5">
        <x:v>5</x:v>
      </x:c>
      <x:c r="L13" s="5" t="s">
        <x:v>172</x:v>
      </x:c>
    </x:row>
    <x:row r="14" ht="15">
      <x:c r="A14" s="5" t="s">
        <x:v>196</x:v>
      </x:c>
      <x:c r="B14" s="5" t="s">
        <x:v>96</x:v>
      </x:c>
      <x:c r="C14" s="5" t="s">
        <x:v>197</x:v>
      </x:c>
      <x:c r="D14" s="5" t="s">
        <x:v>180</x:v>
      </x:c>
      <x:c r="E14" s="5" t="s">
        <x:v>133</x:v>
      </x:c>
      <x:c r="F14" s="5">
        <x:v>78</x:v>
      </x:c>
      <x:c r="G14" s="5">
        <x:v>80</x:v>
      </x:c>
      <x:c r="H14" s="5">
        <x:v>74</x:v>
      </x:c>
      <x:c r="I14" s="5">
        <x:v>72</x:v>
      </x:c>
      <x:c r="J14" s="5">
        <x:v>66</x:v>
      </x:c>
      <x:c r="K14" s="5">
        <x:v>5</x:v>
      </x:c>
      <x:c r="L14" s="5" t="s">
        <x:v>172</x:v>
      </x:c>
    </x:row>
    <x:row r="15" ht="15">
      <x:c r="A15" s="5" t="s">
        <x:v>198</x:v>
      </x:c>
      <x:c r="B15" s="5" t="s">
        <x:v>96</x:v>
      </x:c>
      <x:c r="C15" s="5" t="s">
        <x:v>199</x:v>
      </x:c>
      <x:c r="D15" s="5" t="s">
        <x:v>183</x:v>
      </x:c>
      <x:c r="E15" s="5" t="s">
        <x:v>129</x:v>
      </x:c>
      <x:c r="F15" s="5">
        <x:v>82</x:v>
      </x:c>
      <x:c r="G15" s="5">
        <x:v>78</x:v>
      </x:c>
      <x:c r="H15" s="5">
        <x:v>80</x:v>
      </x:c>
      <x:c r="I15" s="5">
        <x:v>76</x:v>
      </x:c>
      <x:c r="J15" s="5">
        <x:v>72</x:v>
      </x:c>
      <x:c r="K15" s="5">
        <x:v>5</x:v>
      </x:c>
      <x:c r="L15" s="5" t="s">
        <x:v>172</x:v>
      </x:c>
    </x:row>
    <x:row r="16" ht="15">
      <x:c r="A16" s="5" t="s">
        <x:v>200</x:v>
      </x:c>
      <x:c r="B16" s="5" t="s">
        <x:v>96</x:v>
      </x:c>
      <x:c r="C16" s="5" t="s">
        <x:v>201</x:v>
      </x:c>
      <x:c r="D16" s="5" t="s">
        <x:v>183</x:v>
      </x:c>
      <x:c r="E16" s="5" t="s">
        <x:v>145</x:v>
      </x:c>
      <x:c r="F16" s="5">
        <x:v>76</x:v>
      </x:c>
      <x:c r="G16" s="5">
        <x:v>74</x:v>
      </x:c>
      <x:c r="H16" s="5">
        <x:v>78</x:v>
      </x:c>
      <x:c r="I16" s="5">
        <x:v>70</x:v>
      </x:c>
      <x:c r="J16" s="5">
        <x:v>68</x:v>
      </x:c>
      <x:c r="K16" s="5">
        <x:v>4</x:v>
      </x:c>
      <x:c r="L16" s="5" t="s">
        <x:v>172</x:v>
      </x:c>
    </x:row>
    <x:row r="17" ht="15">
      <x:c r="A17" s="5" t="s">
        <x:v>202</x:v>
      </x:c>
      <x:c r="B17" s="5" t="s">
        <x:v>96</x:v>
      </x:c>
      <x:c r="C17" s="5" t="s">
        <x:v>203</x:v>
      </x:c>
      <x:c r="D17" s="5" t="s">
        <x:v>204</x:v>
      </x:c>
      <x:c r="E17" s="5" t="s">
        <x:v>153</x:v>
      </x:c>
      <x:c r="F17" s="5">
        <x:v>86</x:v>
      </x:c>
      <x:c r="G17" s="5">
        <x:v>84</x:v>
      </x:c>
      <x:c r="H17" s="5">
        <x:v>70</x:v>
      </x:c>
      <x:c r="I17" s="5">
        <x:v>65</x:v>
      </x:c>
      <x:c r="J17" s="5">
        <x:v>72</x:v>
      </x:c>
      <x:c r="K17" s="5">
        <x:v>5</x:v>
      </x:c>
      <x:c r="L17" s="5" t="s">
        <x:v>172</x:v>
      </x:c>
    </x:row>
    <x:row r="18" ht="15">
      <x:c r="A18" s="5" t="s">
        <x:v>205</x:v>
      </x:c>
      <x:c r="B18" s="5" t="s">
        <x:v>96</x:v>
      </x:c>
      <x:c r="C18" s="5" t="s">
        <x:v>206</x:v>
      </x:c>
      <x:c r="D18" s="5" t="s">
        <x:v>207</x:v>
      </x:c>
      <x:c r="E18" s="5" t="s">
        <x:v>129</x:v>
      </x:c>
      <x:c r="F18" s="5">
        <x:v>84</x:v>
      </x:c>
      <x:c r="G18" s="5">
        <x:v>78</x:v>
      </x:c>
      <x:c r="H18" s="5">
        <x:v>80</x:v>
      </x:c>
      <x:c r="I18" s="5">
        <x:v>70</x:v>
      </x:c>
      <x:c r="J18" s="5">
        <x:v>76</x:v>
      </x:c>
      <x:c r="K18" s="5">
        <x:v>4</x:v>
      </x:c>
      <x:c r="L18" s="5" t="s">
        <x:v>172</x:v>
      </x:c>
    </x:row>
    <x:row r="19" ht="15">
      <x:c r="A19" s="5" t="s">
        <x:v>208</x:v>
      </x:c>
      <x:c r="B19" s="5" t="s">
        <x:v>101</x:v>
      </x:c>
      <x:c r="C19" s="5" t="s">
        <x:v>209</x:v>
      </x:c>
      <x:c r="D19" s="5" t="s">
        <x:v>210</x:v>
      </x:c>
      <x:c r="E19" s="5" t="s">
        <x:v>153</x:v>
      </x:c>
      <x:c r="F19" s="5">
        <x:v>90</x:v>
      </x:c>
      <x:c r="G19" s="5">
        <x:v>65</x:v>
      </x:c>
      <x:c r="H19" s="5">
        <x:v>92</x:v>
      </x:c>
      <x:c r="I19" s="5">
        <x:v>88</x:v>
      </x:c>
      <x:c r="J19" s="5">
        <x:v>90</x:v>
      </x:c>
      <x:c r="K19" s="5">
        <x:v>3</x:v>
      </x:c>
      <x:c r="L19" s="5" t="s">
        <x:v>172</x:v>
      </x:c>
    </x:row>
    <x:row r="20" ht="15">
      <x:c r="A20" s="5" t="s">
        <x:v>211</x:v>
      </x:c>
      <x:c r="B20" s="5" t="s">
        <x:v>101</x:v>
      </x:c>
      <x:c r="C20" s="5" t="s">
        <x:v>212</x:v>
      </x:c>
      <x:c r="D20" s="5" t="s">
        <x:v>188</x:v>
      </x:c>
      <x:c r="E20" s="5" t="s">
        <x:v>153</x:v>
      </x:c>
      <x:c r="F20" s="5">
        <x:v>92</x:v>
      </x:c>
      <x:c r="G20" s="5">
        <x:v>50</x:v>
      </x:c>
      <x:c r="H20" s="5">
        <x:v>88</x:v>
      </x:c>
      <x:c r="I20" s="5">
        <x:v>94</x:v>
      </x:c>
      <x:c r="J20" s="5">
        <x:v>96</x:v>
      </x:c>
      <x:c r="K20" s="5">
        <x:v>3</x:v>
      </x:c>
      <x:c r="L20" s="5" t="s">
        <x:v>172</x:v>
      </x:c>
    </x:row>
    <x:row r="21" ht="15">
      <x:c r="A21" s="5" t="s">
        <x:v>213</x:v>
      </x:c>
      <x:c r="B21" s="5" t="s">
        <x:v>101</x:v>
      </x:c>
      <x:c r="C21" s="5" t="s">
        <x:v>214</x:v>
      </x:c>
      <x:c r="D21" s="5" t="s">
        <x:v>183</x:v>
      </x:c>
      <x:c r="E21" s="5" t="s">
        <x:v>142</x:v>
      </x:c>
      <x:c r="F21" s="5">
        <x:v>84</x:v>
      </x:c>
      <x:c r="G21" s="5">
        <x:v>72</x:v>
      </x:c>
      <x:c r="H21" s="5">
        <x:v>86</x:v>
      </x:c>
      <x:c r="I21" s="5">
        <x:v>86</x:v>
      </x:c>
      <x:c r="J21" s="5">
        <x:v>82</x:v>
      </x:c>
      <x:c r="K21" s="5">
        <x:v>4</x:v>
      </x:c>
      <x:c r="L21" s="5" t="s">
        <x:v>172</x:v>
      </x:c>
    </x:row>
    <x:row r="22" ht="15">
      <x:c r="A22" s="5" t="s">
        <x:v>215</x:v>
      </x:c>
      <x:c r="B22" s="5" t="s">
        <x:v>101</x:v>
      </x:c>
      <x:c r="C22" s="5" t="s">
        <x:v>216</x:v>
      </x:c>
      <x:c r="D22" s="5" t="s">
        <x:v>217</x:v>
      </x:c>
      <x:c r="E22" s="5" t="s">
        <x:v>153</x:v>
      </x:c>
      <x:c r="F22" s="5">
        <x:v>88</x:v>
      </x:c>
      <x:c r="G22" s="5">
        <x:v>58</x:v>
      </x:c>
      <x:c r="H22" s="5">
        <x:v>90</x:v>
      </x:c>
      <x:c r="I22" s="5">
        <x:v>92</x:v>
      </x:c>
      <x:c r="J22" s="5">
        <x:v>94</x:v>
      </x:c>
      <x:c r="K22" s="5">
        <x:v>3</x:v>
      </x:c>
      <x:c r="L22" s="5" t="s">
        <x:v>172</x:v>
      </x:c>
    </x:row>
    <x:row r="23" ht="15">
      <x:c r="A23" s="5" t="s">
        <x:v>218</x:v>
      </x:c>
      <x:c r="B23" s="5" t="s">
        <x:v>107</x:v>
      </x:c>
      <x:c r="C23" s="5" t="s">
        <x:v>219</x:v>
      </x:c>
      <x:c r="D23" s="5" t="s">
        <x:v>191</x:v>
      </x:c>
      <x:c r="E23" s="5" t="s">
        <x:v>129</x:v>
      </x:c>
      <x:c r="F23" s="5">
        <x:v>95</x:v>
      </x:c>
      <x:c r="G23" s="5">
        <x:v>10</x:v>
      </x:c>
      <x:c r="H23" s="5">
        <x:v>70</x:v>
      </x:c>
      <x:c r="I23" s="5">
        <x:v>88</x:v>
      </x:c>
      <x:c r="J23" s="5">
        <x:v>90</x:v>
      </x:c>
      <x:c r="K23" s="5">
        <x:v>1</x:v>
      </x:c>
      <x:c r="L23" s="5" t="s">
        <x:v>172</x:v>
      </x:c>
    </x:row>
    <x:row r="24">
      <x:c r="A24" s="10" t="s">
        <x:v>220</x:v>
      </x:c>
      <x:c r="B24" s="10" t="s">
        <x:v>90</x:v>
      </x:c>
      <x:c r="C24" s="10" t="s">
        <x:v>221</x:v>
      </x:c>
      <x:c r="D24" s="10" t="s">
        <x:v>222</x:v>
      </x:c>
      <x:c r="E24" s="10" t="s">
        <x:v>148</x:v>
      </x:c>
      <x:c r="F24" s="10">
        <x:v>78</x:v>
      </x:c>
      <x:c r="G24" s="10">
        <x:v>60</x:v>
      </x:c>
      <x:c r="H24" s="10">
        <x:v>72</x:v>
      </x:c>
      <x:c r="I24" s="10">
        <x:v>74</x:v>
      </x:c>
      <x:c r="J24" s="10">
        <x:v>80</x:v>
      </x:c>
      <x:c r="K24" s="10">
        <x:v>3</x:v>
      </x:c>
      <x:c r="L24" s="10" t="s">
        <x:v>172</x:v>
      </x:c>
    </x:row>
    <x:row r="25">
      <x:c r="A25" s="11" t="s">
        <x:v>223</x:v>
      </x:c>
      <x:c r="B25" s="11" t="s">
        <x:v>90</x:v>
      </x:c>
      <x:c r="C25" s="11" t="s">
        <x:v>224</x:v>
      </x:c>
      <x:c r="D25" s="11" t="s">
        <x:v>225</x:v>
      </x:c>
      <x:c r="E25" s="11" t="s">
        <x:v>148</x:v>
      </x:c>
      <x:c r="F25" s="11">
        <x:v>84</x:v>
      </x:c>
      <x:c r="G25" s="11">
        <x:v>30</x:v>
      </x:c>
      <x:c r="H25" s="11">
        <x:v>82</x:v>
      </x:c>
      <x:c r="I25" s="11">
        <x:v>88</x:v>
      </x:c>
      <x:c r="J25" s="11">
        <x:v>92</x:v>
      </x:c>
      <x:c r="K25" s="11">
        <x:v>4</x:v>
      </x:c>
      <x:c r="L25" s="11" t="s">
        <x:v>172</x:v>
      </x:c>
    </x:row>
    <x:row r="26">
      <x:c r="A26" s="10" t="s">
        <x:v>226</x:v>
      </x:c>
      <x:c r="B26" s="10" t="s">
        <x:v>101</x:v>
      </x:c>
      <x:c r="C26" s="10" t="s">
        <x:v>227</x:v>
      </x:c>
      <x:c r="D26" s="10" t="s">
        <x:v>228</x:v>
      </x:c>
      <x:c r="E26" s="10" t="s">
        <x:v>153</x:v>
      </x:c>
      <x:c r="F26" s="10">
        <x:v>90</x:v>
      </x:c>
      <x:c r="G26" s="10">
        <x:v>35</x:v>
      </x:c>
      <x:c r="H26" s="10">
        <x:v>90</x:v>
      </x:c>
      <x:c r="I26" s="10">
        <x:v>90</x:v>
      </x:c>
      <x:c r="J26" s="10">
        <x:v>95</x:v>
      </x:c>
      <x:c r="K26" s="10">
        <x:v>3</x:v>
      </x:c>
      <x:c r="L26" s="10" t="s">
        <x:v>172</x:v>
      </x:c>
    </x:row>
  </x:sheetData>
  <x:mergeCells>
    <x:mergeCell ref="A1:L1"/>
  </x:mergeCells>
  <x:conditionalFormatting sqref="F4:F23">
    <x:cfRule type="dataBar" priority="1">
      <x:dataBar>
        <x:cfvo type="min"/>
        <x:cfvo type="max"/>
        <x:color rgb="FF156082"/>
      </x:dataBar>
    </x:cfRule>
    <x:cfRule type="dataBar" priority="6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{1FC6D80E-DA6A-571D-9B66-D5805073DF2D}</x14:id>
        </x:ext>
      </x:extLst>
    </x:cfRule>
  </x:conditionalFormatting>
  <x:conditionalFormatting sqref="G4:G23">
    <x:cfRule type="dataBar" priority="2">
      <x:dataBar>
        <x:cfvo type="min"/>
        <x:cfvo type="max"/>
        <x:color rgb="FF156082"/>
      </x:dataBar>
    </x:cfRule>
    <x:cfRule type="dataBar" priority="7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{2CC059B3-9C95-5185-D470-509505C78CC0}</x14:id>
        </x:ext>
      </x:extLst>
    </x:cfRule>
  </x:conditionalFormatting>
  <x:conditionalFormatting sqref="H4:H23">
    <x:cfRule type="dataBar" priority="3">
      <x:dataBar>
        <x:cfvo type="min"/>
        <x:cfvo type="max"/>
        <x:color rgb="FF156082"/>
      </x:dataBar>
    </x:cfRule>
    <x:cfRule type="dataBar" priority="8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{B40D1B96-E86E-C596-65B1-1FBBC657C44D}</x14:id>
        </x:ext>
      </x:extLst>
    </x:cfRule>
  </x:conditionalFormatting>
  <x:conditionalFormatting sqref="I4:I23">
    <x:cfRule type="dataBar" priority="4">
      <x:dataBar>
        <x:cfvo type="min"/>
        <x:cfvo type="max"/>
        <x:color rgb="FF156082"/>
      </x:dataBar>
    </x:cfRule>
    <x:cfRule type="dataBar" priority="9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{EE29D6BF-79F3-9F25-30BB-A55ABDE6ED29}</x14:id>
        </x:ext>
      </x:extLst>
    </x:cfRule>
  </x:conditionalFormatting>
  <x:conditionalFormatting sqref="J4:J23">
    <x:cfRule type="dataBar" priority="5">
      <x:dataBar>
        <x:cfvo type="min"/>
        <x:cfvo type="max"/>
        <x:color rgb="FF156082"/>
      </x:dataBar>
    </x:cfRule>
    <x:cfRule type="dataBar" priority="10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{B8A6B7B3-C22B-9FB2-6589-A48DDE9746F7}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59a690039bb4c7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FC6D80E-DA6A-571D-9B66-D5805073DF2D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F4:F23</xm:sqref>
        </x14:conditionalFormatting>
        <x14:conditionalFormatting>
          <x14:cfRule type="dataBar" priority="7" id="{2CC059B3-9C95-5185-D470-509505C78CC0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G4:G23</xm:sqref>
        </x14:conditionalFormatting>
        <x14:conditionalFormatting>
          <x14:cfRule type="dataBar" priority="8" id="{B40D1B96-E86E-C596-65B1-1FBBC657C44D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H4:H23</xm:sqref>
        </x14:conditionalFormatting>
        <x14:conditionalFormatting>
          <x14:cfRule type="dataBar" priority="9" id="{EE29D6BF-79F3-9F25-30BB-A55ABDE6ED29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I4:I23</xm:sqref>
        </x14:conditionalFormatting>
        <x14:conditionalFormatting>
          <x14:cfRule type="dataBar" priority="10" id="{B8A6B7B3-C22B-9FB2-6589-A48DDE9746F7}">
            <x14:dataBar>
              <x14:cfvo type="min"/>
              <x14:cfvo type="max"/>
              <x14:fillColor rgb="FF156082"/>
              <x14:negativeFillColor auto="1"/>
              <x14:axisColor auto="1"/>
            </x14:dataBar>
          </x14:cfRule>
          <xm:sqref>J4:J23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28" customWidth="1"/>
    <x:col min="3" max="3" width="12" customWidth="1"/>
    <x:col min="4" max="4" width="16" customWidth="1"/>
    <x:col min="5" max="5" width="32" customWidth="1"/>
    <x:col min="6" max="7" width="12" customWidth="1"/>
    <x:col min="8" max="8" width="14" customWidth="1"/>
    <x:col min="9" max="10" width="16" customWidth="1"/>
    <x:col min="11" max="11" width="12" customWidth="1"/>
    <x:col min="12" max="12" width="48" customWidth="1"/>
  </x:cols>
  <x:sheetData>
    <x:row r="1" ht="40" customHeight="1">
      <x:c r="A1" s="13" t="s">
        <x:v>229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32">
      <x:c r="A3" s="1" t="s">
        <x:v>230</x:v>
      </x:c>
      <x:c r="B3" s="1" t="s">
        <x:v>231</x:v>
      </x:c>
      <x:c r="C3" s="1" t="s">
        <x:v>84</x:v>
      </x:c>
      <x:c r="D3" s="1" t="s">
        <x:v>116</x:v>
      </x:c>
      <x:c r="E3" s="1" t="s">
        <x:v>86</x:v>
      </x:c>
      <x:c r="F3" s="1" t="s">
        <x:v>232</x:v>
      </x:c>
      <x:c r="G3" s="1" t="s">
        <x:v>233</x:v>
      </x:c>
      <x:c r="H3" s="1" t="s">
        <x:v>234</x:v>
      </x:c>
      <x:c r="I3" s="1" t="s">
        <x:v>235</x:v>
      </x:c>
      <x:c r="J3" s="1" t="s">
        <x:v>236</x:v>
      </x:c>
      <x:c r="K3" s="1" t="s">
        <x:v>237</x:v>
      </x:c>
      <x:c r="L3" s="1" t="s">
        <x:v>238</x:v>
      </x:c>
    </x:row>
    <x:row r="4" ht="15">
      <x:c r="A4" s="5" t="s">
        <x:v>239</x:v>
      </x:c>
      <x:c r="B4" s="5" t="s">
        <x:v>240</x:v>
      </x:c>
      <x:c r="C4" s="5" t="s">
        <x:v>90</x:v>
      </x:c>
      <x:c r="D4" s="5" t="s">
        <x:v>175</x:v>
      </x:c>
      <x:c r="E4" s="5" t="s">
        <x:v>241</x:v>
      </x:c>
      <x:c r="F4" s="5">
        <x:v>4</x:v>
      </x:c>
      <x:c r="G4" s="5">
        <x:v>3</x:v>
      </x:c>
      <x:c r="H4" s="5">
        <x:v>3</x:v>
      </x:c>
      <x:c r="I4" s="5">
        <x:v>3</x:v>
      </x:c>
      <x:c r="J4" s="5">
        <x:v>4</x:v>
      </x:c>
      <x:c r="K4" s="5">
        <x:v>4</x:v>
      </x:c>
      <x:c r="L4" s="5" t="s">
        <x:v>242</x:v>
      </x:c>
    </x:row>
    <x:row r="5" ht="15">
      <x:c r="A5" s="5" t="s">
        <x:v>243</x:v>
      </x:c>
      <x:c r="B5" s="5" t="s">
        <x:v>244</x:v>
      </x:c>
      <x:c r="C5" s="5" t="s">
        <x:v>90</x:v>
      </x:c>
      <x:c r="D5" s="5" t="s">
        <x:v>175</x:v>
      </x:c>
      <x:c r="E5" s="5" t="s">
        <x:v>245</x:v>
      </x:c>
      <x:c r="F5" s="5">
        <x:v>3</x:v>
      </x:c>
      <x:c r="G5" s="5">
        <x:v>4</x:v>
      </x:c>
      <x:c r="H5" s="5">
        <x:v>4</x:v>
      </x:c>
      <x:c r="I5" s="5">
        <x:v>4</x:v>
      </x:c>
      <x:c r="J5" s="5">
        <x:v>3</x:v>
      </x:c>
      <x:c r="K5" s="5">
        <x:v>3</x:v>
      </x:c>
      <x:c r="L5" s="5" t="s">
        <x:v>242</x:v>
      </x:c>
    </x:row>
    <x:row r="6" ht="15">
      <x:c r="A6" s="5" t="s">
        <x:v>246</x:v>
      </x:c>
      <x:c r="B6" s="5" t="s">
        <x:v>247</x:v>
      </x:c>
      <x:c r="C6" s="5" t="s">
        <x:v>90</x:v>
      </x:c>
      <x:c r="D6" s="5" t="s">
        <x:v>248</x:v>
      </x:c>
      <x:c r="E6" s="5" t="s">
        <x:v>249</x:v>
      </x:c>
      <x:c r="F6" s="5">
        <x:v>5</x:v>
      </x:c>
      <x:c r="G6" s="5">
        <x:v>4</x:v>
      </x:c>
      <x:c r="H6" s="5">
        <x:v>3</x:v>
      </x:c>
      <x:c r="I6" s="5">
        <x:v>4</x:v>
      </x:c>
      <x:c r="J6" s="5">
        <x:v>3</x:v>
      </x:c>
      <x:c r="K6" s="5">
        <x:v>3</x:v>
      </x:c>
      <x:c r="L6" s="5" t="s">
        <x:v>242</x:v>
      </x:c>
    </x:row>
    <x:row r="7" ht="15">
      <x:c r="A7" s="5" t="s">
        <x:v>250</x:v>
      </x:c>
      <x:c r="B7" s="5" t="s">
        <x:v>251</x:v>
      </x:c>
      <x:c r="C7" s="5" t="s">
        <x:v>90</x:v>
      </x:c>
      <x:c r="D7" s="5" t="s">
        <x:v>180</x:v>
      </x:c>
      <x:c r="E7" s="5" t="s">
        <x:v>252</x:v>
      </x:c>
      <x:c r="F7" s="5">
        <x:v>4</x:v>
      </x:c>
      <x:c r="G7" s="5">
        <x:v>4</x:v>
      </x:c>
      <x:c r="H7" s="5">
        <x:v>4</x:v>
      </x:c>
      <x:c r="I7" s="5">
        <x:v>4</x:v>
      </x:c>
      <x:c r="J7" s="5">
        <x:v>3</x:v>
      </x:c>
      <x:c r="K7" s="5">
        <x:v>4</x:v>
      </x:c>
      <x:c r="L7" s="5" t="s">
        <x:v>242</x:v>
      </x:c>
    </x:row>
    <x:row r="8" ht="15">
      <x:c r="A8" s="5" t="s">
        <x:v>253</x:v>
      </x:c>
      <x:c r="B8" s="5" t="s">
        <x:v>254</x:v>
      </x:c>
      <x:c r="C8" s="5" t="s">
        <x:v>90</x:v>
      </x:c>
      <x:c r="D8" s="5" t="s">
        <x:v>183</x:v>
      </x:c>
      <x:c r="E8" s="5" t="s">
        <x:v>255</x:v>
      </x:c>
      <x:c r="F8" s="5">
        <x:v>3</x:v>
      </x:c>
      <x:c r="G8" s="5">
        <x:v>3</x:v>
      </x:c>
      <x:c r="H8" s="5">
        <x:v>4</x:v>
      </x:c>
      <x:c r="I8" s="5">
        <x:v>4</x:v>
      </x:c>
      <x:c r="J8" s="5">
        <x:v>4</x:v>
      </x:c>
      <x:c r="K8" s="5">
        <x:v>3</x:v>
      </x:c>
      <x:c r="L8" s="5" t="s">
        <x:v>242</x:v>
      </x:c>
    </x:row>
    <x:row r="9" ht="15">
      <x:c r="A9" s="5" t="s">
        <x:v>256</x:v>
      </x:c>
      <x:c r="B9" s="5" t="s">
        <x:v>257</x:v>
      </x:c>
      <x:c r="C9" s="5" t="s">
        <x:v>90</x:v>
      </x:c>
      <x:c r="D9" s="5" t="s">
        <x:v>171</x:v>
      </x:c>
      <x:c r="E9" s="5" t="s">
        <x:v>258</x:v>
      </x:c>
      <x:c r="F9" s="5">
        <x:v>4</x:v>
      </x:c>
      <x:c r="G9" s="5">
        <x:v>3</x:v>
      </x:c>
      <x:c r="H9" s="5">
        <x:v>4</x:v>
      </x:c>
      <x:c r="I9" s="5">
        <x:v>5</x:v>
      </x:c>
      <x:c r="J9" s="5">
        <x:v>5</x:v>
      </x:c>
      <x:c r="K9" s="5">
        <x:v>3</x:v>
      </x:c>
      <x:c r="L9" s="5" t="s">
        <x:v>242</x:v>
      </x:c>
    </x:row>
    <x:row r="10" ht="15">
      <x:c r="A10" s="5" t="s">
        <x:v>259</x:v>
      </x:c>
      <x:c r="B10" s="5" t="s">
        <x:v>260</x:v>
      </x:c>
      <x:c r="C10" s="5" t="s">
        <x:v>96</x:v>
      </x:c>
      <x:c r="D10" s="5" t="s">
        <x:v>180</x:v>
      </x:c>
      <x:c r="E10" s="5" t="s">
        <x:v>261</x:v>
      </x:c>
      <x:c r="F10" s="5">
        <x:v>4</x:v>
      </x:c>
      <x:c r="G10" s="5">
        <x:v>4</x:v>
      </x:c>
      <x:c r="H10" s="5">
        <x:v>4</x:v>
      </x:c>
      <x:c r="I10" s="5">
        <x:v>4</x:v>
      </x:c>
      <x:c r="J10" s="5">
        <x:v>3</x:v>
      </x:c>
      <x:c r="K10" s="5">
        <x:v>4</x:v>
      </x:c>
      <x:c r="L10" s="5" t="s">
        <x:v>242</x:v>
      </x:c>
    </x:row>
    <x:row r="11" ht="15">
      <x:c r="A11" s="5" t="s">
        <x:v>262</x:v>
      </x:c>
      <x:c r="B11" s="5" t="s">
        <x:v>263</x:v>
      </x:c>
      <x:c r="C11" s="5" t="s">
        <x:v>96</x:v>
      </x:c>
      <x:c r="D11" s="5" t="s">
        <x:v>204</x:v>
      </x:c>
      <x:c r="E11" s="5" t="s">
        <x:v>264</x:v>
      </x:c>
      <x:c r="F11" s="5">
        <x:v>4</x:v>
      </x:c>
      <x:c r="G11" s="5">
        <x:v>5</x:v>
      </x:c>
      <x:c r="H11" s="5">
        <x:v>2</x:v>
      </x:c>
      <x:c r="I11" s="5">
        <x:v>3</x:v>
      </x:c>
      <x:c r="J11" s="5">
        <x:v>3</x:v>
      </x:c>
      <x:c r="K11" s="5">
        <x:v>5</x:v>
      </x:c>
      <x:c r="L11" s="5" t="s">
        <x:v>265</x:v>
      </x:c>
    </x:row>
    <x:row r="12" ht="15">
      <x:c r="A12" s="5" t="s">
        <x:v>266</x:v>
      </x:c>
      <x:c r="B12" s="5" t="s">
        <x:v>267</x:v>
      </x:c>
      <x:c r="C12" s="5" t="s">
        <x:v>96</x:v>
      </x:c>
      <x:c r="D12" s="5" t="s">
        <x:v>183</x:v>
      </x:c>
      <x:c r="E12" s="5" t="s">
        <x:v>268</x:v>
      </x:c>
      <x:c r="F12" s="5">
        <x:v>4</x:v>
      </x:c>
      <x:c r="G12" s="5">
        <x:v>3</x:v>
      </x:c>
      <x:c r="H12" s="5">
        <x:v>4</x:v>
      </x:c>
      <x:c r="I12" s="5">
        <x:v>4</x:v>
      </x:c>
      <x:c r="J12" s="5">
        <x:v>4</x:v>
      </x:c>
      <x:c r="K12" s="5">
        <x:v>4</x:v>
      </x:c>
      <x:c r="L12" s="5" t="s">
        <x:v>242</x:v>
      </x:c>
    </x:row>
    <x:row r="13" ht="15">
      <x:c r="A13" s="5" t="s">
        <x:v>269</x:v>
      </x:c>
      <x:c r="B13" s="5" t="s">
        <x:v>270</x:v>
      </x:c>
      <x:c r="C13" s="5" t="s">
        <x:v>96</x:v>
      </x:c>
      <x:c r="D13" s="5" t="s">
        <x:v>207</x:v>
      </x:c>
      <x:c r="E13" s="5" t="s">
        <x:v>271</x:v>
      </x:c>
      <x:c r="F13" s="5">
        <x:v>4</x:v>
      </x:c>
      <x:c r="G13" s="5">
        <x:v>4</x:v>
      </x:c>
      <x:c r="H13" s="5">
        <x:v>3</x:v>
      </x:c>
      <x:c r="I13" s="5">
        <x:v>4</x:v>
      </x:c>
      <x:c r="J13" s="5">
        <x:v>3</x:v>
      </x:c>
      <x:c r="K13" s="5">
        <x:v>4</x:v>
      </x:c>
      <x:c r="L13" s="5" t="s">
        <x:v>242</x:v>
      </x:c>
    </x:row>
    <x:row r="14" ht="15">
      <x:c r="A14" s="5" t="s">
        <x:v>272</x:v>
      </x:c>
      <x:c r="B14" s="5" t="s">
        <x:v>273</x:v>
      </x:c>
      <x:c r="C14" s="5" t="s">
        <x:v>101</x:v>
      </x:c>
      <x:c r="D14" s="5" t="s">
        <x:v>210</x:v>
      </x:c>
      <x:c r="E14" s="5" t="s">
        <x:v>274</x:v>
      </x:c>
      <x:c r="F14" s="5">
        <x:v>5</x:v>
      </x:c>
      <x:c r="G14" s="5">
        <x:v>5</x:v>
      </x:c>
      <x:c r="H14" s="5">
        <x:v>4</x:v>
      </x:c>
      <x:c r="I14" s="5">
        <x:v>4</x:v>
      </x:c>
      <x:c r="J14" s="5">
        <x:v>4</x:v>
      </x:c>
      <x:c r="K14" s="5">
        <x:v>4</x:v>
      </x:c>
      <x:c r="L14" s="5" t="s">
        <x:v>275</x:v>
      </x:c>
    </x:row>
    <x:row r="15" ht="15">
      <x:c r="A15" s="5" t="s">
        <x:v>276</x:v>
      </x:c>
      <x:c r="B15" s="5" t="s">
        <x:v>277</x:v>
      </x:c>
      <x:c r="C15" s="5" t="s">
        <x:v>101</x:v>
      </x:c>
      <x:c r="D15" s="5" t="s">
        <x:v>183</x:v>
      </x:c>
      <x:c r="E15" s="5" t="s">
        <x:v>278</x:v>
      </x:c>
      <x:c r="F15" s="5">
        <x:v>4</x:v>
      </x:c>
      <x:c r="G15" s="5">
        <x:v>4</x:v>
      </x:c>
      <x:c r="H15" s="5">
        <x:v>5</x:v>
      </x:c>
      <x:c r="I15" s="5">
        <x:v>4</x:v>
      </x:c>
      <x:c r="J15" s="5">
        <x:v>5</x:v>
      </x:c>
      <x:c r="K15" s="5">
        <x:v>5</x:v>
      </x:c>
      <x:c r="L15" s="5" t="s">
        <x:v>242</x:v>
      </x:c>
    </x:row>
    <x:row r="16" ht="15">
      <x:c r="A16" s="5" t="s">
        <x:v>279</x:v>
      </x:c>
      <x:c r="B16" s="5" t="s">
        <x:v>280</x:v>
      </x:c>
      <x:c r="C16" s="5" t="s">
        <x:v>101</x:v>
      </x:c>
      <x:c r="D16" s="5" t="s">
        <x:v>188</x:v>
      </x:c>
      <x:c r="E16" s="5" t="s">
        <x:v>281</x:v>
      </x:c>
      <x:c r="F16" s="5">
        <x:v>3</x:v>
      </x:c>
      <x:c r="G16" s="5">
        <x:v>4</x:v>
      </x:c>
      <x:c r="H16" s="5">
        <x:v>4</x:v>
      </x:c>
      <x:c r="I16" s="5">
        <x:v>5</x:v>
      </x:c>
      <x:c r="J16" s="5">
        <x:v>5</x:v>
      </x:c>
      <x:c r="K16" s="5">
        <x:v>4</x:v>
      </x:c>
      <x:c r="L16" s="5" t="s">
        <x:v>242</x:v>
      </x:c>
    </x:row>
    <x:row r="17" ht="15">
      <x:c r="A17" s="5" t="s">
        <x:v>282</x:v>
      </x:c>
      <x:c r="B17" s="5" t="s">
        <x:v>283</x:v>
      </x:c>
      <x:c r="C17" s="5" t="s">
        <x:v>101</x:v>
      </x:c>
      <x:c r="D17" s="5" t="s">
        <x:v>217</x:v>
      </x:c>
      <x:c r="E17" s="5" t="s">
        <x:v>284</x:v>
      </x:c>
      <x:c r="F17" s="5">
        <x:v>4</x:v>
      </x:c>
      <x:c r="G17" s="5">
        <x:v>5</x:v>
      </x:c>
      <x:c r="H17" s="5">
        <x:v>4</x:v>
      </x:c>
      <x:c r="I17" s="5">
        <x:v>5</x:v>
      </x:c>
      <x:c r="J17" s="5">
        <x:v>5</x:v>
      </x:c>
      <x:c r="K17" s="5">
        <x:v>3</x:v>
      </x:c>
      <x:c r="L17" s="5" t="s">
        <x:v>242</x:v>
      </x:c>
    </x:row>
    <x:row r="18" ht="15">
      <x:c r="A18" s="5" t="s">
        <x:v>285</x:v>
      </x:c>
      <x:c r="B18" s="5" t="s">
        <x:v>286</x:v>
      </x:c>
      <x:c r="C18" s="5" t="s">
        <x:v>107</x:v>
      </x:c>
      <x:c r="D18" s="5" t="s">
        <x:v>191</x:v>
      </x:c>
      <x:c r="E18" s="5" t="s">
        <x:v>287</x:v>
      </x:c>
      <x:c r="F18" s="5">
        <x:v>2</x:v>
      </x:c>
      <x:c r="G18" s="5">
        <x:v>2</x:v>
      </x:c>
      <x:c r="H18" s="5">
        <x:v>1</x:v>
      </x:c>
      <x:c r="I18" s="5">
        <x:v>2</x:v>
      </x:c>
      <x:c r="J18" s="5">
        <x:v>5</x:v>
      </x:c>
      <x:c r="K18" s="5">
        <x:v>1</x:v>
      </x:c>
      <x:c r="L18" s="5" t="s">
        <x:v>288</x:v>
      </x:c>
    </x:row>
    <x:row r="19">
      <x:c r="A19" s="10" t="s">
        <x:v>289</x:v>
      </x:c>
      <x:c r="B19" s="10" t="s">
        <x:v>290</x:v>
      </x:c>
      <x:c r="C19" s="10" t="s">
        <x:v>90</x:v>
      </x:c>
      <x:c r="D19" s="10" t="s">
        <x:v>222</x:v>
      </x:c>
      <x:c r="E19" s="10" t="s">
        <x:v>291</x:v>
      </x:c>
      <x:c r="F19" s="10">
        <x:v>5</x:v>
      </x:c>
      <x:c r="G19" s="10">
        <x:v>3</x:v>
      </x:c>
      <x:c r="H19" s="10">
        <x:v>5</x:v>
      </x:c>
      <x:c r="I19" s="10">
        <x:v>3</x:v>
      </x:c>
      <x:c r="J19" s="10">
        <x:v>3</x:v>
      </x:c>
      <x:c r="K19" s="10">
        <x:v>2</x:v>
      </x:c>
      <x:c r="L19" s="10" t="s">
        <x:v>292</x:v>
      </x:c>
    </x:row>
    <x:row r="20">
      <x:c r="A20" s="11" t="s">
        <x:v>293</x:v>
      </x:c>
      <x:c r="B20" s="11" t="s">
        <x:v>294</x:v>
      </x:c>
      <x:c r="C20" s="11" t="s">
        <x:v>90</x:v>
      </x:c>
      <x:c r="D20" s="11" t="s">
        <x:v>225</x:v>
      </x:c>
      <x:c r="E20" s="11" t="s">
        <x:v>295</x:v>
      </x:c>
      <x:c r="F20" s="11">
        <x:v>3</x:v>
      </x:c>
      <x:c r="G20" s="11">
        <x:v>5</x:v>
      </x:c>
      <x:c r="H20" s="11">
        <x:v>2</x:v>
      </x:c>
      <x:c r="I20" s="11">
        <x:v>4</x:v>
      </x:c>
      <x:c r="J20" s="11">
        <x:v>4</x:v>
      </x:c>
      <x:c r="K20" s="11">
        <x:v>3</x:v>
      </x:c>
      <x:c r="L20" s="11" t="s">
        <x:v>296</x:v>
      </x:c>
    </x:row>
    <x:row r="21">
      <x:c r="A21" s="10" t="s">
        <x:v>297</x:v>
      </x:c>
      <x:c r="B21" s="10" t="s">
        <x:v>298</x:v>
      </x:c>
      <x:c r="C21" s="10" t="s">
        <x:v>101</x:v>
      </x:c>
      <x:c r="D21" s="10" t="s">
        <x:v>228</x:v>
      </x:c>
      <x:c r="E21" s="10" t="s">
        <x:v>299</x:v>
      </x:c>
      <x:c r="F21" s="10">
        <x:v>4</x:v>
      </x:c>
      <x:c r="G21" s="10">
        <x:v>5</x:v>
      </x:c>
      <x:c r="H21" s="10">
        <x:v>4</x:v>
      </x:c>
      <x:c r="I21" s="10">
        <x:v>4</x:v>
      </x:c>
      <x:c r="J21" s="10">
        <x:v>4</x:v>
      </x:c>
      <x:c r="K21" s="10">
        <x:v>4</x:v>
      </x:c>
      <x:c r="L21" s="10" t="s">
        <x:v>300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966a763a4e84cbc"/>
  </x:tableParts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10" customWidth="1"/>
    <x:col min="2" max="2" width="16" customWidth="1"/>
    <x:col min="3" max="3" width="12" customWidth="1"/>
    <x:col min="4" max="5" width="16" customWidth="1"/>
    <x:col min="6" max="6" width="12" customWidth="1"/>
    <x:col min="7" max="7" width="22" customWidth="1"/>
    <x:col min="8" max="8" width="28" customWidth="1"/>
    <x:col min="9" max="9" width="14" customWidth="1"/>
  </x:cols>
  <x:sheetData>
    <x:row r="1" ht="40" customHeight="1">
      <x:c r="A1" s="13" t="s">
        <x:v>301</x:v>
      </x:c>
      <x:c r="B1" s="14"/>
      <x:c r="C1" s="14"/>
      <x:c r="D1" s="14"/>
      <x:c r="E1" s="14"/>
      <x:c r="F1" s="14"/>
      <x:c r="G1" s="14"/>
      <x:c r="H1" s="14"/>
      <x:c r="I1" s="14"/>
    </x:row>
    <x:row r="3" ht="16">
      <x:c r="A3" s="1" t="s">
        <x:v>302</x:v>
      </x:c>
      <x:c r="B3" s="1" t="s">
        <x:v>303</x:v>
      </x:c>
      <x:c r="C3" s="1" t="s">
        <x:v>114</x:v>
      </x:c>
      <x:c r="D3" s="1" t="s">
        <x:v>304</x:v>
      </x:c>
      <x:c r="E3" s="1" t="s">
        <x:v>305</x:v>
      </x:c>
      <x:c r="F3" s="1" t="s">
        <x:v>306</x:v>
      </x:c>
      <x:c r="G3" s="1" t="s">
        <x:v>307</x:v>
      </x:c>
      <x:c r="H3" s="1" t="s">
        <x:v>308</x:v>
      </x:c>
      <x:c r="I3" s="1" t="s">
        <x:v>168</x:v>
      </x:c>
    </x:row>
    <x:row r="4" ht="15">
      <x:c r="A4" s="5">
        <x:v>1</x:v>
      </x:c>
      <x:c r="B4" s="5">
        <x:v>0</x:v>
      </x:c>
      <x:c r="C4" s="5" t="s">
        <x:v>122</x:v>
      </x:c>
      <x:c r="D4" s="5">
        <x:v>3</x:v>
      </x:c>
      <x:c r="E4" s="5">
        <x:v>2</x:v>
      </x:c>
      <x:c r="F4" s="5">
        <x:v>21</x:v>
      </x:c>
      <x:c r="G4" s="5">
        <x:v>77</x:v>
      </x:c>
      <x:c r="H4" s="5" t="s">
        <x:v>309</x:v>
      </x:c>
      <x:c r="I4" s="5" t="s">
        <x:v>310</x:v>
      </x:c>
    </x:row>
    <x:row r="5" ht="15">
      <x:c r="A5" s="5">
        <x:v>1</x:v>
      </x:c>
      <x:c r="B5" s="5">
        <x:v>0</x:v>
      </x:c>
      <x:c r="C5" s="5" t="s">
        <x:v>129</x:v>
      </x:c>
      <x:c r="D5" s="5">
        <x:v>4</x:v>
      </x:c>
      <x:c r="E5" s="5">
        <x:v>3</x:v>
      </x:c>
      <x:c r="F5" s="5">
        <x:v>34</x:v>
      </x:c>
      <x:c r="G5" s="5">
        <x:v>48</x:v>
      </x:c>
      <x:c r="H5" s="5" t="s">
        <x:v>309</x:v>
      </x:c>
      <x:c r="I5" s="5" t="s">
        <x:v>310</x:v>
      </x:c>
    </x:row>
    <x:row r="6" ht="15">
      <x:c r="A6" s="5">
        <x:v>1</x:v>
      </x:c>
      <x:c r="B6" s="5">
        <x:v>0</x:v>
      </x:c>
      <x:c r="C6" s="5" t="s">
        <x:v>133</x:v>
      </x:c>
      <x:c r="D6" s="5">
        <x:v>4</x:v>
      </x:c>
      <x:c r="E6" s="5">
        <x:v>1</x:v>
      </x:c>
      <x:c r="F6" s="5">
        <x:v>27</x:v>
      </x:c>
      <x:c r="G6" s="5">
        <x:v>89</x:v>
      </x:c>
      <x:c r="H6" s="5" t="s">
        <x:v>309</x:v>
      </x:c>
      <x:c r="I6" s="5" t="s">
        <x:v>310</x:v>
      </x:c>
    </x:row>
    <x:row r="7" ht="15">
      <x:c r="A7" s="5">
        <x:v>1</x:v>
      </x:c>
      <x:c r="B7" s="5">
        <x:v>0</x:v>
      </x:c>
      <x:c r="C7" s="5" t="s">
        <x:v>137</x:v>
      </x:c>
      <x:c r="D7" s="5">
        <x:v>2</x:v>
      </x:c>
      <x:c r="E7" s="5">
        <x:v>4</x:v>
      </x:c>
      <x:c r="F7" s="5">
        <x:v>17</x:v>
      </x:c>
      <x:c r="G7" s="5">
        <x:v>30</x:v>
      </x:c>
      <x:c r="H7" s="5" t="s">
        <x:v>309</x:v>
      </x:c>
      <x:c r="I7" s="5" t="s">
        <x:v>310</x:v>
      </x:c>
    </x:row>
    <x:row r="8" ht="15">
      <x:c r="A8" s="5">
        <x:v>1</x:v>
      </x:c>
      <x:c r="B8" s="5">
        <x:v>0</x:v>
      </x:c>
      <x:c r="C8" s="5" t="s">
        <x:v>142</x:v>
      </x:c>
      <x:c r="D8" s="5">
        <x:v>4</x:v>
      </x:c>
      <x:c r="E8" s="5">
        <x:v>4</x:v>
      </x:c>
      <x:c r="F8" s="5">
        <x:v>26</x:v>
      </x:c>
      <x:c r="G8" s="5">
        <x:v>43</x:v>
      </x:c>
      <x:c r="H8" s="5" t="s">
        <x:v>309</x:v>
      </x:c>
      <x:c r="I8" s="5" t="s">
        <x:v>310</x:v>
      </x:c>
    </x:row>
    <x:row r="9" ht="15">
      <x:c r="A9" s="5">
        <x:v>1</x:v>
      </x:c>
      <x:c r="B9" s="5">
        <x:v>0</x:v>
      </x:c>
      <x:c r="C9" s="5" t="s">
        <x:v>145</x:v>
      </x:c>
      <x:c r="D9" s="5">
        <x:v>4</x:v>
      </x:c>
      <x:c r="E9" s="5">
        <x:v>3</x:v>
      </x:c>
      <x:c r="F9" s="5">
        <x:v>35</x:v>
      </x:c>
      <x:c r="G9" s="5">
        <x:v>49</x:v>
      </x:c>
      <x:c r="H9" s="5" t="s">
        <x:v>309</x:v>
      </x:c>
      <x:c r="I9" s="5" t="s">
        <x:v>310</x:v>
      </x:c>
    </x:row>
    <x:row r="10" ht="15">
      <x:c r="A10" s="5">
        <x:v>1</x:v>
      </x:c>
      <x:c r="B10" s="5">
        <x:v>0</x:v>
      </x:c>
      <x:c r="C10" s="5" t="s">
        <x:v>148</x:v>
      </x:c>
      <x:c r="D10" s="5">
        <x:v>2</x:v>
      </x:c>
      <x:c r="E10" s="5">
        <x:v>4</x:v>
      </x:c>
      <x:c r="F10" s="5">
        <x:v>17</x:v>
      </x:c>
      <x:c r="G10" s="5">
        <x:v>47</x:v>
      </x:c>
      <x:c r="H10" s="5" t="s">
        <x:v>309</x:v>
      </x:c>
      <x:c r="I10" s="5" t="s">
        <x:v>310</x:v>
      </x:c>
    </x:row>
    <x:row r="11" ht="15">
      <x:c r="A11" s="5">
        <x:v>1</x:v>
      </x:c>
      <x:c r="B11" s="5">
        <x:v>0</x:v>
      </x:c>
      <x:c r="C11" s="5" t="s">
        <x:v>153</x:v>
      </x:c>
      <x:c r="D11" s="5">
        <x:v>2</x:v>
      </x:c>
      <x:c r="E11" s="5">
        <x:v>4</x:v>
      </x:c>
      <x:c r="F11" s="5">
        <x:v>23</x:v>
      </x:c>
      <x:c r="G11" s="5">
        <x:v>39</x:v>
      </x:c>
      <x:c r="H11" s="5" t="s">
        <x:v>309</x:v>
      </x:c>
      <x:c r="I11" s="5" t="s">
        <x:v>310</x:v>
      </x:c>
    </x:row>
    <x:row r="12" ht="15">
      <x:c r="A12" s="5">
        <x:v>2</x:v>
      </x:c>
      <x:c r="B12" s="5">
        <x:v>6</x:v>
      </x:c>
      <x:c r="C12" s="5" t="s">
        <x:v>122</x:v>
      </x:c>
      <x:c r="D12" s="5">
        <x:v>3</x:v>
      </x:c>
      <x:c r="E12" s="5">
        <x:v>4</x:v>
      </x:c>
      <x:c r="F12" s="5">
        <x:v>26</x:v>
      </x:c>
      <x:c r="G12" s="5">
        <x:v>47</x:v>
      </x:c>
      <x:c r="H12" s="5" t="s">
        <x:v>309</x:v>
      </x:c>
      <x:c r="I12" s="5" t="s">
        <x:v>310</x:v>
      </x:c>
    </x:row>
    <x:row r="13" ht="15">
      <x:c r="A13" s="5">
        <x:v>2</x:v>
      </x:c>
      <x:c r="B13" s="5">
        <x:v>6</x:v>
      </x:c>
      <x:c r="C13" s="5" t="s">
        <x:v>129</x:v>
      </x:c>
      <x:c r="D13" s="5">
        <x:v>3</x:v>
      </x:c>
      <x:c r="E13" s="5">
        <x:v>4</x:v>
      </x:c>
      <x:c r="F13" s="5">
        <x:v>25</x:v>
      </x:c>
      <x:c r="G13" s="5">
        <x:v>44</x:v>
      </x:c>
      <x:c r="H13" s="5" t="s">
        <x:v>309</x:v>
      </x:c>
      <x:c r="I13" s="5" t="s">
        <x:v>310</x:v>
      </x:c>
    </x:row>
    <x:row r="14" ht="15">
      <x:c r="A14" s="5">
        <x:v>2</x:v>
      </x:c>
      <x:c r="B14" s="5">
        <x:v>6</x:v>
      </x:c>
      <x:c r="C14" s="5" t="s">
        <x:v>133</x:v>
      </x:c>
      <x:c r="D14" s="5">
        <x:v>3</x:v>
      </x:c>
      <x:c r="E14" s="5">
        <x:v>1</x:v>
      </x:c>
      <x:c r="F14" s="5">
        <x:v>22</x:v>
      </x:c>
      <x:c r="G14" s="5">
        <x:v>87</x:v>
      </x:c>
      <x:c r="H14" s="5" t="s">
        <x:v>309</x:v>
      </x:c>
      <x:c r="I14" s="5" t="s">
        <x:v>310</x:v>
      </x:c>
    </x:row>
    <x:row r="15" ht="15">
      <x:c r="A15" s="5">
        <x:v>2</x:v>
      </x:c>
      <x:c r="B15" s="5">
        <x:v>6</x:v>
      </x:c>
      <x:c r="C15" s="5" t="s">
        <x:v>137</x:v>
      </x:c>
      <x:c r="D15" s="5">
        <x:v>3</x:v>
      </x:c>
      <x:c r="E15" s="5">
        <x:v>4</x:v>
      </x:c>
      <x:c r="F15" s="5">
        <x:v>24</x:v>
      </x:c>
      <x:c r="G15" s="5">
        <x:v>30</x:v>
      </x:c>
      <x:c r="H15" s="5" t="s">
        <x:v>309</x:v>
      </x:c>
      <x:c r="I15" s="5" t="s">
        <x:v>310</x:v>
      </x:c>
    </x:row>
    <x:row r="16" ht="15">
      <x:c r="A16" s="5">
        <x:v>2</x:v>
      </x:c>
      <x:c r="B16" s="5">
        <x:v>6</x:v>
      </x:c>
      <x:c r="C16" s="5" t="s">
        <x:v>142</x:v>
      </x:c>
      <x:c r="D16" s="5">
        <x:v>4</x:v>
      </x:c>
      <x:c r="E16" s="5">
        <x:v>4</x:v>
      </x:c>
      <x:c r="F16" s="5">
        <x:v>31</x:v>
      </x:c>
      <x:c r="G16" s="5">
        <x:v>36</x:v>
      </x:c>
      <x:c r="H16" s="5" t="s">
        <x:v>309</x:v>
      </x:c>
      <x:c r="I16" s="5" t="s">
        <x:v>310</x:v>
      </x:c>
    </x:row>
    <x:row r="17" ht="15">
      <x:c r="A17" s="5">
        <x:v>2</x:v>
      </x:c>
      <x:c r="B17" s="5">
        <x:v>6</x:v>
      </x:c>
      <x:c r="C17" s="5" t="s">
        <x:v>145</x:v>
      </x:c>
      <x:c r="D17" s="5">
        <x:v>4</x:v>
      </x:c>
      <x:c r="E17" s="5">
        <x:v>3</x:v>
      </x:c>
      <x:c r="F17" s="5">
        <x:v>35</x:v>
      </x:c>
      <x:c r="G17" s="5">
        <x:v>59</x:v>
      </x:c>
      <x:c r="H17" s="5" t="s">
        <x:v>309</x:v>
      </x:c>
      <x:c r="I17" s="5" t="s">
        <x:v>310</x:v>
      </x:c>
    </x:row>
    <x:row r="18" ht="15">
      <x:c r="A18" s="5">
        <x:v>2</x:v>
      </x:c>
      <x:c r="B18" s="5">
        <x:v>6</x:v>
      </x:c>
      <x:c r="C18" s="5" t="s">
        <x:v>148</x:v>
      </x:c>
      <x:c r="D18" s="5">
        <x:v>2</x:v>
      </x:c>
      <x:c r="E18" s="5">
        <x:v>4</x:v>
      </x:c>
      <x:c r="F18" s="5">
        <x:v>24</x:v>
      </x:c>
      <x:c r="G18" s="5">
        <x:v>40</x:v>
      </x:c>
      <x:c r="H18" s="5" t="s">
        <x:v>309</x:v>
      </x:c>
      <x:c r="I18" s="5" t="s">
        <x:v>310</x:v>
      </x:c>
    </x:row>
    <x:row r="19" ht="15">
      <x:c r="A19" s="5">
        <x:v>2</x:v>
      </x:c>
      <x:c r="B19" s="5">
        <x:v>6</x:v>
      </x:c>
      <x:c r="C19" s="5" t="s">
        <x:v>153</x:v>
      </x:c>
      <x:c r="D19" s="5">
        <x:v>3</x:v>
      </x:c>
      <x:c r="E19" s="5">
        <x:v>5</x:v>
      </x:c>
      <x:c r="F19" s="5">
        <x:v>26</x:v>
      </x:c>
      <x:c r="G19" s="5">
        <x:v>14</x:v>
      </x:c>
      <x:c r="H19" s="5" t="s">
        <x:v>309</x:v>
      </x:c>
      <x:c r="I19" s="5" t="s">
        <x:v>310</x:v>
      </x:c>
    </x:row>
    <x:row r="20" ht="15">
      <x:c r="A20" s="5">
        <x:v>3</x:v>
      </x:c>
      <x:c r="B20" s="5">
        <x:v>12</x:v>
      </x:c>
      <x:c r="C20" s="5" t="s">
        <x:v>122</x:v>
      </x:c>
      <x:c r="D20" s="5">
        <x:v>3</x:v>
      </x:c>
      <x:c r="E20" s="5">
        <x:v>3</x:v>
      </x:c>
      <x:c r="F20" s="5">
        <x:v>27</x:v>
      </x:c>
      <x:c r="G20" s="5">
        <x:v>51</x:v>
      </x:c>
      <x:c r="H20" s="5" t="s">
        <x:v>309</x:v>
      </x:c>
      <x:c r="I20" s="5" t="s">
        <x:v>310</x:v>
      </x:c>
    </x:row>
    <x:row r="21" ht="15">
      <x:c r="A21" s="5">
        <x:v>3</x:v>
      </x:c>
      <x:c r="B21" s="5">
        <x:v>12</x:v>
      </x:c>
      <x:c r="C21" s="5" t="s">
        <x:v>129</x:v>
      </x:c>
      <x:c r="D21" s="5">
        <x:v>4</x:v>
      </x:c>
      <x:c r="E21" s="5">
        <x:v>3</x:v>
      </x:c>
      <x:c r="F21" s="5">
        <x:v>30</x:v>
      </x:c>
      <x:c r="G21" s="5">
        <x:v>55</x:v>
      </x:c>
      <x:c r="H21" s="5" t="s">
        <x:v>309</x:v>
      </x:c>
      <x:c r="I21" s="5" t="s">
        <x:v>310</x:v>
      </x:c>
    </x:row>
    <x:row r="22" ht="15">
      <x:c r="A22" s="5">
        <x:v>3</x:v>
      </x:c>
      <x:c r="B22" s="5">
        <x:v>12</x:v>
      </x:c>
      <x:c r="C22" s="5" t="s">
        <x:v>133</x:v>
      </x:c>
      <x:c r="D22" s="5">
        <x:v>4</x:v>
      </x:c>
      <x:c r="E22" s="5">
        <x:v>1</x:v>
      </x:c>
      <x:c r="F22" s="5">
        <x:v>26</x:v>
      </x:c>
      <x:c r="G22" s="5">
        <x:v>92</x:v>
      </x:c>
      <x:c r="H22" s="5" t="s">
        <x:v>309</x:v>
      </x:c>
      <x:c r="I22" s="5" t="s">
        <x:v>310</x:v>
      </x:c>
    </x:row>
    <x:row r="23" ht="15">
      <x:c r="A23" s="5">
        <x:v>3</x:v>
      </x:c>
      <x:c r="B23" s="5">
        <x:v>12</x:v>
      </x:c>
      <x:c r="C23" s="5" t="s">
        <x:v>137</x:v>
      </x:c>
      <x:c r="D23" s="5">
        <x:v>3</x:v>
      </x:c>
      <x:c r="E23" s="5">
        <x:v>4</x:v>
      </x:c>
      <x:c r="F23" s="5">
        <x:v>22</x:v>
      </x:c>
      <x:c r="G23" s="5">
        <x:v>39</x:v>
      </x:c>
      <x:c r="H23" s="5" t="s">
        <x:v>309</x:v>
      </x:c>
      <x:c r="I23" s="5" t="s">
        <x:v>310</x:v>
      </x:c>
    </x:row>
    <x:row r="24" ht="15">
      <x:c r="A24" s="5">
        <x:v>3</x:v>
      </x:c>
      <x:c r="B24" s="5">
        <x:v>12</x:v>
      </x:c>
      <x:c r="C24" s="5" t="s">
        <x:v>142</x:v>
      </x:c>
      <x:c r="D24" s="5">
        <x:v>4</x:v>
      </x:c>
      <x:c r="E24" s="5">
        <x:v>3</x:v>
      </x:c>
      <x:c r="F24" s="5">
        <x:v>28</x:v>
      </x:c>
      <x:c r="G24" s="5">
        <x:v>47</x:v>
      </x:c>
      <x:c r="H24" s="5" t="s">
        <x:v>309</x:v>
      </x:c>
      <x:c r="I24" s="5" t="s">
        <x:v>310</x:v>
      </x:c>
    </x:row>
    <x:row r="25" ht="15">
      <x:c r="A25" s="5">
        <x:v>3</x:v>
      </x:c>
      <x:c r="B25" s="5">
        <x:v>12</x:v>
      </x:c>
      <x:c r="C25" s="5" t="s">
        <x:v>145</x:v>
      </x:c>
      <x:c r="D25" s="5">
        <x:v>4</x:v>
      </x:c>
      <x:c r="E25" s="5">
        <x:v>3</x:v>
      </x:c>
      <x:c r="F25" s="5">
        <x:v>34</x:v>
      </x:c>
      <x:c r="G25" s="5">
        <x:v>57</x:v>
      </x:c>
      <x:c r="H25" s="5" t="s">
        <x:v>309</x:v>
      </x:c>
      <x:c r="I25" s="5" t="s">
        <x:v>310</x:v>
      </x:c>
    </x:row>
    <x:row r="26" ht="15">
      <x:c r="A26" s="5">
        <x:v>3</x:v>
      </x:c>
      <x:c r="B26" s="5">
        <x:v>12</x:v>
      </x:c>
      <x:c r="C26" s="5" t="s">
        <x:v>148</x:v>
      </x:c>
      <x:c r="D26" s="5">
        <x:v>2</x:v>
      </x:c>
      <x:c r="E26" s="5">
        <x:v>5</x:v>
      </x:c>
      <x:c r="F26" s="5">
        <x:v>23</x:v>
      </x:c>
      <x:c r="G26" s="5">
        <x:v>25</x:v>
      </x:c>
      <x:c r="H26" s="5" t="s">
        <x:v>309</x:v>
      </x:c>
      <x:c r="I26" s="5" t="s">
        <x:v>310</x:v>
      </x:c>
    </x:row>
    <x:row r="27" ht="15">
      <x:c r="A27" s="5">
        <x:v>3</x:v>
      </x:c>
      <x:c r="B27" s="5">
        <x:v>12</x:v>
      </x:c>
      <x:c r="C27" s="5" t="s">
        <x:v>153</x:v>
      </x:c>
      <x:c r="D27" s="5">
        <x:v>3</x:v>
      </x:c>
      <x:c r="E27" s="5">
        <x:v>5</x:v>
      </x:c>
      <x:c r="F27" s="5">
        <x:v>25</x:v>
      </x:c>
      <x:c r="G27" s="5">
        <x:v>17</x:v>
      </x:c>
      <x:c r="H27" s="5" t="s">
        <x:v>309</x:v>
      </x:c>
      <x:c r="I27" s="5" t="s">
        <x:v>310</x:v>
      </x:c>
    </x:row>
    <x:row r="28" ht="15">
      <x:c r="A28" s="5">
        <x:v>4</x:v>
      </x:c>
      <x:c r="B28" s="5">
        <x:v>18</x:v>
      </x:c>
      <x:c r="C28" s="5" t="s">
        <x:v>122</x:v>
      </x:c>
      <x:c r="D28" s="5">
        <x:v>3</x:v>
      </x:c>
      <x:c r="E28" s="5">
        <x:v>3</x:v>
      </x:c>
      <x:c r="F28" s="5">
        <x:v>21</x:v>
      </x:c>
      <x:c r="G28" s="5">
        <x:v>59</x:v>
      </x:c>
      <x:c r="H28" s="5" t="s">
        <x:v>309</x:v>
      </x:c>
      <x:c r="I28" s="5" t="s">
        <x:v>310</x:v>
      </x:c>
    </x:row>
    <x:row r="29" ht="15">
      <x:c r="A29" s="5">
        <x:v>4</x:v>
      </x:c>
      <x:c r="B29" s="5">
        <x:v>18</x:v>
      </x:c>
      <x:c r="C29" s="5" t="s">
        <x:v>129</x:v>
      </x:c>
      <x:c r="D29" s="5">
        <x:v>3</x:v>
      </x:c>
      <x:c r="E29" s="5">
        <x:v>3</x:v>
      </x:c>
      <x:c r="F29" s="5">
        <x:v>21</x:v>
      </x:c>
      <x:c r="G29" s="5">
        <x:v>48</x:v>
      </x:c>
      <x:c r="H29" s="5" t="s">
        <x:v>309</x:v>
      </x:c>
      <x:c r="I29" s="5" t="s">
        <x:v>310</x:v>
      </x:c>
    </x:row>
    <x:row r="30" ht="15">
      <x:c r="A30" s="5">
        <x:v>4</x:v>
      </x:c>
      <x:c r="B30" s="5">
        <x:v>18</x:v>
      </x:c>
      <x:c r="C30" s="5" t="s">
        <x:v>133</x:v>
      </x:c>
      <x:c r="D30" s="5">
        <x:v>4</x:v>
      </x:c>
      <x:c r="E30" s="5">
        <x:v>2</x:v>
      </x:c>
      <x:c r="F30" s="5">
        <x:v>33</x:v>
      </x:c>
      <x:c r="G30" s="5">
        <x:v>72</x:v>
      </x:c>
      <x:c r="H30" s="5" t="s">
        <x:v>309</x:v>
      </x:c>
      <x:c r="I30" s="5" t="s">
        <x:v>310</x:v>
      </x:c>
    </x:row>
    <x:row r="31" ht="15">
      <x:c r="A31" s="5">
        <x:v>4</x:v>
      </x:c>
      <x:c r="B31" s="5">
        <x:v>18</x:v>
      </x:c>
      <x:c r="C31" s="5" t="s">
        <x:v>137</x:v>
      </x:c>
      <x:c r="D31" s="5">
        <x:v>3</x:v>
      </x:c>
      <x:c r="E31" s="5">
        <x:v>3</x:v>
      </x:c>
      <x:c r="F31" s="5">
        <x:v>27</x:v>
      </x:c>
      <x:c r="G31" s="5">
        <x:v>49</x:v>
      </x:c>
      <x:c r="H31" s="5" t="s">
        <x:v>309</x:v>
      </x:c>
      <x:c r="I31" s="5" t="s">
        <x:v>310</x:v>
      </x:c>
    </x:row>
    <x:row r="32" ht="15">
      <x:c r="A32" s="5">
        <x:v>4</x:v>
      </x:c>
      <x:c r="B32" s="5">
        <x:v>18</x:v>
      </x:c>
      <x:c r="C32" s="5" t="s">
        <x:v>142</x:v>
      </x:c>
      <x:c r="D32" s="5">
        <x:v>4</x:v>
      </x:c>
      <x:c r="E32" s="5">
        <x:v>5</x:v>
      </x:c>
      <x:c r="F32" s="5">
        <x:v>32</x:v>
      </x:c>
      <x:c r="G32" s="5">
        <x:v>28</x:v>
      </x:c>
      <x:c r="H32" s="5" t="s">
        <x:v>309</x:v>
      </x:c>
      <x:c r="I32" s="5" t="s">
        <x:v>310</x:v>
      </x:c>
    </x:row>
    <x:row r="33" ht="15">
      <x:c r="A33" s="5">
        <x:v>4</x:v>
      </x:c>
      <x:c r="B33" s="5">
        <x:v>18</x:v>
      </x:c>
      <x:c r="C33" s="5" t="s">
        <x:v>145</x:v>
      </x:c>
      <x:c r="D33" s="5">
        <x:v>5</x:v>
      </x:c>
      <x:c r="E33" s="5">
        <x:v>3</x:v>
      </x:c>
      <x:c r="F33" s="5">
        <x:v>36</x:v>
      </x:c>
      <x:c r="G33" s="5">
        <x:v>49</x:v>
      </x:c>
      <x:c r="H33" s="5" t="s">
        <x:v>309</x:v>
      </x:c>
      <x:c r="I33" s="5" t="s">
        <x:v>310</x:v>
      </x:c>
    </x:row>
    <x:row r="34" ht="15">
      <x:c r="A34" s="5">
        <x:v>4</x:v>
      </x:c>
      <x:c r="B34" s="5">
        <x:v>18</x:v>
      </x:c>
      <x:c r="C34" s="5" t="s">
        <x:v>148</x:v>
      </x:c>
      <x:c r="D34" s="5">
        <x:v>3</x:v>
      </x:c>
      <x:c r="E34" s="5">
        <x:v>3</x:v>
      </x:c>
      <x:c r="F34" s="5">
        <x:v>24</x:v>
      </x:c>
      <x:c r="G34" s="5">
        <x:v>54</x:v>
      </x:c>
      <x:c r="H34" s="5" t="s">
        <x:v>309</x:v>
      </x:c>
      <x:c r="I34" s="5" t="s">
        <x:v>310</x:v>
      </x:c>
    </x:row>
    <x:row r="35" ht="15">
      <x:c r="A35" s="5">
        <x:v>4</x:v>
      </x:c>
      <x:c r="B35" s="5">
        <x:v>18</x:v>
      </x:c>
      <x:c r="C35" s="5" t="s">
        <x:v>153</x:v>
      </x:c>
      <x:c r="D35" s="5">
        <x:v>3</x:v>
      </x:c>
      <x:c r="E35" s="5">
        <x:v>5</x:v>
      </x:c>
      <x:c r="F35" s="5">
        <x:v>22</x:v>
      </x:c>
      <x:c r="G35" s="5">
        <x:v>16</x:v>
      </x:c>
      <x:c r="H35" s="5" t="s">
        <x:v>309</x:v>
      </x:c>
      <x:c r="I35" s="5" t="s">
        <x:v>310</x:v>
      </x:c>
    </x:row>
    <x:row r="36" ht="15">
      <x:c r="A36" s="5">
        <x:v>5</x:v>
      </x:c>
      <x:c r="B36" s="5">
        <x:v>24</x:v>
      </x:c>
      <x:c r="C36" s="5" t="s">
        <x:v>122</x:v>
      </x:c>
      <x:c r="D36" s="5">
        <x:v>4</x:v>
      </x:c>
      <x:c r="E36" s="5">
        <x:v>4</x:v>
      </x:c>
      <x:c r="F36" s="5">
        <x:v>30</x:v>
      </x:c>
      <x:c r="G36" s="5">
        <x:v>33</x:v>
      </x:c>
      <x:c r="H36" s="5" t="s">
        <x:v>311</x:v>
      </x:c>
      <x:c r="I36" s="5" t="s">
        <x:v>310</x:v>
      </x:c>
    </x:row>
    <x:row r="37" ht="15">
      <x:c r="A37" s="5">
        <x:v>5</x:v>
      </x:c>
      <x:c r="B37" s="5">
        <x:v>24</x:v>
      </x:c>
      <x:c r="C37" s="5" t="s">
        <x:v>129</x:v>
      </x:c>
      <x:c r="D37" s="5">
        <x:v>3</x:v>
      </x:c>
      <x:c r="E37" s="5">
        <x:v>2</x:v>
      </x:c>
      <x:c r="F37" s="5">
        <x:v>25</x:v>
      </x:c>
      <x:c r="G37" s="5">
        <x:v>68</x:v>
      </x:c>
      <x:c r="H37" s="5" t="s">
        <x:v>311</x:v>
      </x:c>
      <x:c r="I37" s="5" t="s">
        <x:v>310</x:v>
      </x:c>
    </x:row>
    <x:row r="38" ht="15">
      <x:c r="A38" s="5">
        <x:v>5</x:v>
      </x:c>
      <x:c r="B38" s="5">
        <x:v>24</x:v>
      </x:c>
      <x:c r="C38" s="5" t="s">
        <x:v>133</x:v>
      </x:c>
      <x:c r="D38" s="5">
        <x:v>5</x:v>
      </x:c>
      <x:c r="E38" s="5">
        <x:v>3</x:v>
      </x:c>
      <x:c r="F38" s="5">
        <x:v>40</x:v>
      </x:c>
      <x:c r="G38" s="5">
        <x:v>46</x:v>
      </x:c>
      <x:c r="H38" s="5" t="s">
        <x:v>311</x:v>
      </x:c>
      <x:c r="I38" s="5" t="s">
        <x:v>310</x:v>
      </x:c>
    </x:row>
    <x:row r="39" ht="15">
      <x:c r="A39" s="5">
        <x:v>5</x:v>
      </x:c>
      <x:c r="B39" s="5">
        <x:v>24</x:v>
      </x:c>
      <x:c r="C39" s="5" t="s">
        <x:v>137</x:v>
      </x:c>
      <x:c r="D39" s="5">
        <x:v>4</x:v>
      </x:c>
      <x:c r="E39" s="5">
        <x:v>4</x:v>
      </x:c>
      <x:c r="F39" s="5">
        <x:v>29</x:v>
      </x:c>
      <x:c r="G39" s="5">
        <x:v>36</x:v>
      </x:c>
      <x:c r="H39" s="5" t="s">
        <x:v>311</x:v>
      </x:c>
      <x:c r="I39" s="5" t="s">
        <x:v>310</x:v>
      </x:c>
    </x:row>
    <x:row r="40" ht="15">
      <x:c r="A40" s="5">
        <x:v>5</x:v>
      </x:c>
      <x:c r="B40" s="5">
        <x:v>24</x:v>
      </x:c>
      <x:c r="C40" s="5" t="s">
        <x:v>142</x:v>
      </x:c>
      <x:c r="D40" s="5">
        <x:v>5</x:v>
      </x:c>
      <x:c r="E40" s="5">
        <x:v>5</x:v>
      </x:c>
      <x:c r="F40" s="5">
        <x:v>32</x:v>
      </x:c>
      <x:c r="G40" s="5">
        <x:v>21</x:v>
      </x:c>
      <x:c r="H40" s="5" t="s">
        <x:v>311</x:v>
      </x:c>
      <x:c r="I40" s="5" t="s">
        <x:v>310</x:v>
      </x:c>
    </x:row>
    <x:row r="41" ht="15">
      <x:c r="A41" s="5">
        <x:v>5</x:v>
      </x:c>
      <x:c r="B41" s="5">
        <x:v>24</x:v>
      </x:c>
      <x:c r="C41" s="5" t="s">
        <x:v>145</x:v>
      </x:c>
      <x:c r="D41" s="5">
        <x:v>5</x:v>
      </x:c>
      <x:c r="E41" s="5">
        <x:v>3</x:v>
      </x:c>
      <x:c r="F41" s="5">
        <x:v>39</x:v>
      </x:c>
      <x:c r="G41" s="5">
        <x:v>61</x:v>
      </x:c>
      <x:c r="H41" s="5" t="s">
        <x:v>311</x:v>
      </x:c>
      <x:c r="I41" s="5" t="s">
        <x:v>310</x:v>
      </x:c>
    </x:row>
    <x:row r="42" ht="15">
      <x:c r="A42" s="5">
        <x:v>5</x:v>
      </x:c>
      <x:c r="B42" s="5">
        <x:v>24</x:v>
      </x:c>
      <x:c r="C42" s="5" t="s">
        <x:v>148</x:v>
      </x:c>
      <x:c r="D42" s="5">
        <x:v>2</x:v>
      </x:c>
      <x:c r="E42" s="5">
        <x:v>4</x:v>
      </x:c>
      <x:c r="F42" s="5">
        <x:v>16</x:v>
      </x:c>
      <x:c r="G42" s="5">
        <x:v>48</x:v>
      </x:c>
      <x:c r="H42" s="5" t="s">
        <x:v>311</x:v>
      </x:c>
      <x:c r="I42" s="5" t="s">
        <x:v>310</x:v>
      </x:c>
    </x:row>
    <x:row r="43" ht="15">
      <x:c r="A43" s="5">
        <x:v>5</x:v>
      </x:c>
      <x:c r="B43" s="5">
        <x:v>24</x:v>
      </x:c>
      <x:c r="C43" s="5" t="s">
        <x:v>153</x:v>
      </x:c>
      <x:c r="D43" s="5">
        <x:v>2</x:v>
      </x:c>
      <x:c r="E43" s="5">
        <x:v>5</x:v>
      </x:c>
      <x:c r="F43" s="5">
        <x:v>22</x:v>
      </x:c>
      <x:c r="G43" s="5">
        <x:v>22</x:v>
      </x:c>
      <x:c r="H43" s="5" t="s">
        <x:v>311</x:v>
      </x:c>
      <x:c r="I43" s="5" t="s">
        <x:v>310</x:v>
      </x:c>
    </x:row>
    <x:row r="44" ht="15">
      <x:c r="A44" s="5">
        <x:v>6</x:v>
      </x:c>
      <x:c r="B44" s="5">
        <x:v>30</x:v>
      </x:c>
      <x:c r="C44" s="5" t="s">
        <x:v>122</x:v>
      </x:c>
      <x:c r="D44" s="5">
        <x:v>3</x:v>
      </x:c>
      <x:c r="E44" s="5">
        <x:v>1</x:v>
      </x:c>
      <x:c r="F44" s="5">
        <x:v>30</x:v>
      </x:c>
      <x:c r="G44" s="5">
        <x:v>86</x:v>
      </x:c>
      <x:c r="H44" s="5" t="s">
        <x:v>311</x:v>
      </x:c>
      <x:c r="I44" s="5" t="s">
        <x:v>310</x:v>
      </x:c>
    </x:row>
    <x:row r="45" ht="15">
      <x:c r="A45" s="5">
        <x:v>6</x:v>
      </x:c>
      <x:c r="B45" s="5">
        <x:v>30</x:v>
      </x:c>
      <x:c r="C45" s="5" t="s">
        <x:v>129</x:v>
      </x:c>
      <x:c r="D45" s="5">
        <x:v>4</x:v>
      </x:c>
      <x:c r="E45" s="5">
        <x:v>1</x:v>
      </x:c>
      <x:c r="F45" s="5">
        <x:v>30</x:v>
      </x:c>
      <x:c r="G45" s="5">
        <x:v>99</x:v>
      </x:c>
      <x:c r="H45" s="5" t="s">
        <x:v>311</x:v>
      </x:c>
      <x:c r="I45" s="5" t="s">
        <x:v>310</x:v>
      </x:c>
    </x:row>
    <x:row r="46" ht="15">
      <x:c r="A46" s="5">
        <x:v>6</x:v>
      </x:c>
      <x:c r="B46" s="5">
        <x:v>30</x:v>
      </x:c>
      <x:c r="C46" s="5" t="s">
        <x:v>133</x:v>
      </x:c>
      <x:c r="D46" s="5">
        <x:v>5</x:v>
      </x:c>
      <x:c r="E46" s="5">
        <x:v>1</x:v>
      </x:c>
      <x:c r="F46" s="5">
        <x:v>39</x:v>
      </x:c>
      <x:c r="G46" s="5">
        <x:v>83</x:v>
      </x:c>
      <x:c r="H46" s="5" t="s">
        <x:v>311</x:v>
      </x:c>
      <x:c r="I46" s="5" t="s">
        <x:v>310</x:v>
      </x:c>
    </x:row>
    <x:row r="47" ht="15">
      <x:c r="A47" s="5">
        <x:v>6</x:v>
      </x:c>
      <x:c r="B47" s="5">
        <x:v>30</x:v>
      </x:c>
      <x:c r="C47" s="5" t="s">
        <x:v>137</x:v>
      </x:c>
      <x:c r="D47" s="5">
        <x:v>4</x:v>
      </x:c>
      <x:c r="E47" s="5">
        <x:v>2</x:v>
      </x:c>
      <x:c r="F47" s="5">
        <x:v>28</x:v>
      </x:c>
      <x:c r="G47" s="5">
        <x:v>68</x:v>
      </x:c>
      <x:c r="H47" s="5" t="s">
        <x:v>311</x:v>
      </x:c>
      <x:c r="I47" s="5" t="s">
        <x:v>310</x:v>
      </x:c>
    </x:row>
    <x:row r="48" ht="15">
      <x:c r="A48" s="5">
        <x:v>6</x:v>
      </x:c>
      <x:c r="B48" s="5">
        <x:v>30</x:v>
      </x:c>
      <x:c r="C48" s="5" t="s">
        <x:v>142</x:v>
      </x:c>
      <x:c r="D48" s="5">
        <x:v>4</x:v>
      </x:c>
      <x:c r="E48" s="5">
        <x:v>2</x:v>
      </x:c>
      <x:c r="F48" s="5">
        <x:v>28</x:v>
      </x:c>
      <x:c r="G48" s="5">
        <x:v>78</x:v>
      </x:c>
      <x:c r="H48" s="5" t="s">
        <x:v>311</x:v>
      </x:c>
      <x:c r="I48" s="5" t="s">
        <x:v>310</x:v>
      </x:c>
    </x:row>
    <x:row r="49" ht="15">
      <x:c r="A49" s="5">
        <x:v>6</x:v>
      </x:c>
      <x:c r="B49" s="5">
        <x:v>30</x:v>
      </x:c>
      <x:c r="C49" s="5" t="s">
        <x:v>145</x:v>
      </x:c>
      <x:c r="D49" s="5">
        <x:v>5</x:v>
      </x:c>
      <x:c r="E49" s="5">
        <x:v>1</x:v>
      </x:c>
      <x:c r="F49" s="5">
        <x:v>37</x:v>
      </x:c>
      <x:c r="G49" s="5">
        <x:v>90</x:v>
      </x:c>
      <x:c r="H49" s="5" t="s">
        <x:v>311</x:v>
      </x:c>
      <x:c r="I49" s="5" t="s">
        <x:v>310</x:v>
      </x:c>
    </x:row>
    <x:row r="50" ht="15">
      <x:c r="A50" s="5">
        <x:v>6</x:v>
      </x:c>
      <x:c r="B50" s="5">
        <x:v>30</x:v>
      </x:c>
      <x:c r="C50" s="5" t="s">
        <x:v>148</x:v>
      </x:c>
      <x:c r="D50" s="5">
        <x:v>3</x:v>
      </x:c>
      <x:c r="E50" s="5">
        <x:v>4</x:v>
      </x:c>
      <x:c r="F50" s="5">
        <x:v>24</x:v>
      </x:c>
      <x:c r="G50" s="5">
        <x:v>48</x:v>
      </x:c>
      <x:c r="H50" s="5" t="s">
        <x:v>311</x:v>
      </x:c>
      <x:c r="I50" s="5" t="s">
        <x:v>310</x:v>
      </x:c>
    </x:row>
    <x:row r="51" ht="15">
      <x:c r="A51" s="5">
        <x:v>6</x:v>
      </x:c>
      <x:c r="B51" s="5">
        <x:v>30</x:v>
      </x:c>
      <x:c r="C51" s="5" t="s">
        <x:v>153</x:v>
      </x:c>
      <x:c r="D51" s="5">
        <x:v>4</x:v>
      </x:c>
      <x:c r="E51" s="5">
        <x:v>4</x:v>
      </x:c>
      <x:c r="F51" s="5">
        <x:v>33</x:v>
      </x:c>
      <x:c r="G51" s="5">
        <x:v>45</x:v>
      </x:c>
      <x:c r="H51" s="5" t="s">
        <x:v>311</x:v>
      </x:c>
      <x:c r="I51" s="5" t="s">
        <x:v>310</x:v>
      </x:c>
    </x:row>
    <x:row r="52" ht="15">
      <x:c r="A52" s="5">
        <x:v>7</x:v>
      </x:c>
      <x:c r="B52" s="5">
        <x:v>36</x:v>
      </x:c>
      <x:c r="C52" s="5" t="s">
        <x:v>122</x:v>
      </x:c>
      <x:c r="D52" s="5">
        <x:v>4</x:v>
      </x:c>
      <x:c r="E52" s="5">
        <x:v>1</x:v>
      </x:c>
      <x:c r="F52" s="5">
        <x:v>32</x:v>
      </x:c>
      <x:c r="G52" s="5">
        <x:v>93</x:v>
      </x:c>
      <x:c r="H52" s="5" t="s">
        <x:v>311</x:v>
      </x:c>
      <x:c r="I52" s="5" t="s">
        <x:v>310</x:v>
      </x:c>
    </x:row>
    <x:row r="53" ht="15">
      <x:c r="A53" s="5">
        <x:v>7</x:v>
      </x:c>
      <x:c r="B53" s="5">
        <x:v>36</x:v>
      </x:c>
      <x:c r="C53" s="5" t="s">
        <x:v>129</x:v>
      </x:c>
      <x:c r="D53" s="5">
        <x:v>4</x:v>
      </x:c>
      <x:c r="E53" s="5">
        <x:v>2</x:v>
      </x:c>
      <x:c r="F53" s="5">
        <x:v>34</x:v>
      </x:c>
      <x:c r="G53" s="5">
        <x:v>83</x:v>
      </x:c>
      <x:c r="H53" s="5" t="s">
        <x:v>311</x:v>
      </x:c>
      <x:c r="I53" s="5" t="s">
        <x:v>310</x:v>
      </x:c>
    </x:row>
    <x:row r="54" ht="15">
      <x:c r="A54" s="5">
        <x:v>7</x:v>
      </x:c>
      <x:c r="B54" s="5">
        <x:v>36</x:v>
      </x:c>
      <x:c r="C54" s="5" t="s">
        <x:v>133</x:v>
      </x:c>
      <x:c r="D54" s="5">
        <x:v>5</x:v>
      </x:c>
      <x:c r="E54" s="5">
        <x:v>2</x:v>
      </x:c>
      <x:c r="F54" s="5">
        <x:v>37</x:v>
      </x:c>
      <x:c r="G54" s="5">
        <x:v>84</x:v>
      </x:c>
      <x:c r="H54" s="5" t="s">
        <x:v>311</x:v>
      </x:c>
      <x:c r="I54" s="5" t="s">
        <x:v>310</x:v>
      </x:c>
    </x:row>
    <x:row r="55" ht="15">
      <x:c r="A55" s="5">
        <x:v>7</x:v>
      </x:c>
      <x:c r="B55" s="5">
        <x:v>36</x:v>
      </x:c>
      <x:c r="C55" s="5" t="s">
        <x:v>137</x:v>
      </x:c>
      <x:c r="D55" s="5">
        <x:v>4</x:v>
      </x:c>
      <x:c r="E55" s="5">
        <x:v>4</x:v>
      </x:c>
      <x:c r="F55" s="5">
        <x:v>32</x:v>
      </x:c>
      <x:c r="G55" s="5">
        <x:v>46</x:v>
      </x:c>
      <x:c r="H55" s="5" t="s">
        <x:v>311</x:v>
      </x:c>
      <x:c r="I55" s="5" t="s">
        <x:v>310</x:v>
      </x:c>
    </x:row>
    <x:row r="56" ht="15">
      <x:c r="A56" s="5">
        <x:v>7</x:v>
      </x:c>
      <x:c r="B56" s="5">
        <x:v>36</x:v>
      </x:c>
      <x:c r="C56" s="5" t="s">
        <x:v>142</x:v>
      </x:c>
      <x:c r="D56" s="5">
        <x:v>5</x:v>
      </x:c>
      <x:c r="E56" s="5">
        <x:v>4</x:v>
      </x:c>
      <x:c r="F56" s="5">
        <x:v>34</x:v>
      </x:c>
      <x:c r="G56" s="5">
        <x:v>46</x:v>
      </x:c>
      <x:c r="H56" s="5" t="s">
        <x:v>311</x:v>
      </x:c>
      <x:c r="I56" s="5" t="s">
        <x:v>310</x:v>
      </x:c>
    </x:row>
    <x:row r="57" ht="15">
      <x:c r="A57" s="5">
        <x:v>7</x:v>
      </x:c>
      <x:c r="B57" s="5">
        <x:v>36</x:v>
      </x:c>
      <x:c r="C57" s="5" t="s">
        <x:v>145</x:v>
      </x:c>
      <x:c r="D57" s="5">
        <x:v>4</x:v>
      </x:c>
      <x:c r="E57" s="5">
        <x:v>1</x:v>
      </x:c>
      <x:c r="F57" s="5">
        <x:v>34</x:v>
      </x:c>
      <x:c r="G57" s="5">
        <x:v>97</x:v>
      </x:c>
      <x:c r="H57" s="5" t="s">
        <x:v>311</x:v>
      </x:c>
      <x:c r="I57" s="5" t="s">
        <x:v>310</x:v>
      </x:c>
    </x:row>
    <x:row r="58" ht="15">
      <x:c r="A58" s="5">
        <x:v>7</x:v>
      </x:c>
      <x:c r="B58" s="5">
        <x:v>36</x:v>
      </x:c>
      <x:c r="C58" s="5" t="s">
        <x:v>148</x:v>
      </x:c>
      <x:c r="D58" s="5">
        <x:v>2</x:v>
      </x:c>
      <x:c r="E58" s="5">
        <x:v>2</x:v>
      </x:c>
      <x:c r="F58" s="5">
        <x:v>25</x:v>
      </x:c>
      <x:c r="G58" s="5">
        <x:v>76</x:v>
      </x:c>
      <x:c r="H58" s="5" t="s">
        <x:v>311</x:v>
      </x:c>
      <x:c r="I58" s="5" t="s">
        <x:v>310</x:v>
      </x:c>
    </x:row>
    <x:row r="59" ht="15">
      <x:c r="A59" s="5">
        <x:v>7</x:v>
      </x:c>
      <x:c r="B59" s="5">
        <x:v>36</x:v>
      </x:c>
      <x:c r="C59" s="5" t="s">
        <x:v>153</x:v>
      </x:c>
      <x:c r="D59" s="5">
        <x:v>4</x:v>
      </x:c>
      <x:c r="E59" s="5">
        <x:v>4</x:v>
      </x:c>
      <x:c r="F59" s="5">
        <x:v>32</x:v>
      </x:c>
      <x:c r="G59" s="5">
        <x:v>38</x:v>
      </x:c>
      <x:c r="H59" s="5" t="s">
        <x:v>311</x:v>
      </x:c>
      <x:c r="I59" s="5" t="s">
        <x:v>310</x:v>
      </x:c>
    </x:row>
    <x:row r="60" ht="15">
      <x:c r="A60" s="5">
        <x:v>8</x:v>
      </x:c>
      <x:c r="B60" s="5">
        <x:v>42</x:v>
      </x:c>
      <x:c r="C60" s="5" t="s">
        <x:v>122</x:v>
      </x:c>
      <x:c r="D60" s="5">
        <x:v>3</x:v>
      </x:c>
      <x:c r="E60" s="5">
        <x:v>4</x:v>
      </x:c>
      <x:c r="F60" s="5">
        <x:v>25</x:v>
      </x:c>
      <x:c r="G60" s="5">
        <x:v>33</x:v>
      </x:c>
      <x:c r="H60" s="5" t="s">
        <x:v>309</x:v>
      </x:c>
      <x:c r="I60" s="5" t="s">
        <x:v>310</x:v>
      </x:c>
    </x:row>
    <x:row r="61" ht="15">
      <x:c r="A61" s="5">
        <x:v>8</x:v>
      </x:c>
      <x:c r="B61" s="5">
        <x:v>42</x:v>
      </x:c>
      <x:c r="C61" s="5" t="s">
        <x:v>129</x:v>
      </x:c>
      <x:c r="D61" s="5">
        <x:v>3</x:v>
      </x:c>
      <x:c r="E61" s="5">
        <x:v>4</x:v>
      </x:c>
      <x:c r="F61" s="5">
        <x:v>21</x:v>
      </x:c>
      <x:c r="G61" s="5">
        <x:v>37</x:v>
      </x:c>
      <x:c r="H61" s="5" t="s">
        <x:v>309</x:v>
      </x:c>
      <x:c r="I61" s="5" t="s">
        <x:v>310</x:v>
      </x:c>
    </x:row>
    <x:row r="62" ht="15">
      <x:c r="A62" s="5">
        <x:v>8</x:v>
      </x:c>
      <x:c r="B62" s="5">
        <x:v>42</x:v>
      </x:c>
      <x:c r="C62" s="5" t="s">
        <x:v>133</x:v>
      </x:c>
      <x:c r="D62" s="5">
        <x:v>5</x:v>
      </x:c>
      <x:c r="E62" s="5">
        <x:v>1</x:v>
      </x:c>
      <x:c r="F62" s="5">
        <x:v>31</x:v>
      </x:c>
      <x:c r="G62" s="5">
        <x:v>93</x:v>
      </x:c>
      <x:c r="H62" s="5" t="s">
        <x:v>309</x:v>
      </x:c>
      <x:c r="I62" s="5" t="s">
        <x:v>310</x:v>
      </x:c>
    </x:row>
    <x:row r="63" ht="15">
      <x:c r="A63" s="5">
        <x:v>8</x:v>
      </x:c>
      <x:c r="B63" s="5">
        <x:v>42</x:v>
      </x:c>
      <x:c r="C63" s="5" t="s">
        <x:v>137</x:v>
      </x:c>
      <x:c r="D63" s="5">
        <x:v>2</x:v>
      </x:c>
      <x:c r="E63" s="5">
        <x:v>5</x:v>
      </x:c>
      <x:c r="F63" s="5">
        <x:v>16</x:v>
      </x:c>
      <x:c r="G63" s="5">
        <x:v>25</x:v>
      </x:c>
      <x:c r="H63" s="5" t="s">
        <x:v>309</x:v>
      </x:c>
      <x:c r="I63" s="5" t="s">
        <x:v>310</x:v>
      </x:c>
    </x:row>
    <x:row r="64" ht="15">
      <x:c r="A64" s="5">
        <x:v>8</x:v>
      </x:c>
      <x:c r="B64" s="5">
        <x:v>42</x:v>
      </x:c>
      <x:c r="C64" s="5" t="s">
        <x:v>142</x:v>
      </x:c>
      <x:c r="D64" s="5">
        <x:v>4</x:v>
      </x:c>
      <x:c r="E64" s="5">
        <x:v>3</x:v>
      </x:c>
      <x:c r="F64" s="5">
        <x:v>26</x:v>
      </x:c>
      <x:c r="G64" s="5">
        <x:v>46</x:v>
      </x:c>
      <x:c r="H64" s="5" t="s">
        <x:v>309</x:v>
      </x:c>
      <x:c r="I64" s="5" t="s">
        <x:v>310</x:v>
      </x:c>
    </x:row>
    <x:row r="65" ht="15">
      <x:c r="A65" s="5">
        <x:v>8</x:v>
      </x:c>
      <x:c r="B65" s="5">
        <x:v>42</x:v>
      </x:c>
      <x:c r="C65" s="5" t="s">
        <x:v>145</x:v>
      </x:c>
      <x:c r="D65" s="5">
        <x:v>5</x:v>
      </x:c>
      <x:c r="E65" s="5">
        <x:v>2</x:v>
      </x:c>
      <x:c r="F65" s="5">
        <x:v>40</x:v>
      </x:c>
      <x:c r="G65" s="5">
        <x:v>70</x:v>
      </x:c>
      <x:c r="H65" s="5" t="s">
        <x:v>309</x:v>
      </x:c>
      <x:c r="I65" s="5" t="s">
        <x:v>310</x:v>
      </x:c>
    </x:row>
    <x:row r="66" ht="15">
      <x:c r="A66" s="5">
        <x:v>8</x:v>
      </x:c>
      <x:c r="B66" s="5">
        <x:v>42</x:v>
      </x:c>
      <x:c r="C66" s="5" t="s">
        <x:v>148</x:v>
      </x:c>
      <x:c r="D66" s="5">
        <x:v>3</x:v>
      </x:c>
      <x:c r="E66" s="5">
        <x:v>4</x:v>
      </x:c>
      <x:c r="F66" s="5">
        <x:v>30</x:v>
      </x:c>
      <x:c r="G66" s="5">
        <x:v>34</x:v>
      </x:c>
      <x:c r="H66" s="5" t="s">
        <x:v>309</x:v>
      </x:c>
      <x:c r="I66" s="5" t="s">
        <x:v>310</x:v>
      </x:c>
    </x:row>
    <x:row r="67" ht="15">
      <x:c r="A67" s="5">
        <x:v>8</x:v>
      </x:c>
      <x:c r="B67" s="5">
        <x:v>42</x:v>
      </x:c>
      <x:c r="C67" s="5" t="s">
        <x:v>153</x:v>
      </x:c>
      <x:c r="D67" s="5">
        <x:v>3</x:v>
      </x:c>
      <x:c r="E67" s="5">
        <x:v>5</x:v>
      </x:c>
      <x:c r="F67" s="5">
        <x:v>21</x:v>
      </x:c>
      <x:c r="G67" s="5">
        <x:v>27</x:v>
      </x:c>
      <x:c r="H67" s="5" t="s">
        <x:v>309</x:v>
      </x:c>
      <x:c r="I67" s="5" t="s">
        <x:v>310</x:v>
      </x:c>
    </x:row>
    <x:row r="68" ht="15">
      <x:c r="A68" s="5">
        <x:v>9</x:v>
      </x:c>
      <x:c r="B68" s="5">
        <x:v>48</x:v>
      </x:c>
      <x:c r="C68" s="5" t="s">
        <x:v>122</x:v>
      </x:c>
      <x:c r="D68" s="5">
        <x:v>3</x:v>
      </x:c>
      <x:c r="E68" s="5">
        <x:v>3</x:v>
      </x:c>
      <x:c r="F68" s="5">
        <x:v>25</x:v>
      </x:c>
      <x:c r="G68" s="5">
        <x:v>58</x:v>
      </x:c>
      <x:c r="H68" s="5" t="s">
        <x:v>309</x:v>
      </x:c>
      <x:c r="I68" s="5" t="s">
        <x:v>310</x:v>
      </x:c>
    </x:row>
    <x:row r="69" ht="15">
      <x:c r="A69" s="5">
        <x:v>9</x:v>
      </x:c>
      <x:c r="B69" s="5">
        <x:v>48</x:v>
      </x:c>
      <x:c r="C69" s="5" t="s">
        <x:v>129</x:v>
      </x:c>
      <x:c r="D69" s="5">
        <x:v>3</x:v>
      </x:c>
      <x:c r="E69" s="5">
        <x:v>4</x:v>
      </x:c>
      <x:c r="F69" s="5">
        <x:v>21</x:v>
      </x:c>
      <x:c r="G69" s="5">
        <x:v>38</x:v>
      </x:c>
      <x:c r="H69" s="5" t="s">
        <x:v>309</x:v>
      </x:c>
      <x:c r="I69" s="5" t="s">
        <x:v>310</x:v>
      </x:c>
    </x:row>
    <x:row r="70" ht="15">
      <x:c r="A70" s="5">
        <x:v>9</x:v>
      </x:c>
      <x:c r="B70" s="5">
        <x:v>48</x:v>
      </x:c>
      <x:c r="C70" s="5" t="s">
        <x:v>133</x:v>
      </x:c>
      <x:c r="D70" s="5">
        <x:v>4</x:v>
      </x:c>
      <x:c r="E70" s="5">
        <x:v>2</x:v>
      </x:c>
      <x:c r="F70" s="5">
        <x:v>29</x:v>
      </x:c>
      <x:c r="G70" s="5">
        <x:v>77</x:v>
      </x:c>
      <x:c r="H70" s="5" t="s">
        <x:v>309</x:v>
      </x:c>
      <x:c r="I70" s="5" t="s">
        <x:v>310</x:v>
      </x:c>
    </x:row>
    <x:row r="71" ht="15">
      <x:c r="A71" s="5">
        <x:v>9</x:v>
      </x:c>
      <x:c r="B71" s="5">
        <x:v>48</x:v>
      </x:c>
      <x:c r="C71" s="5" t="s">
        <x:v>137</x:v>
      </x:c>
      <x:c r="D71" s="5">
        <x:v>2</x:v>
      </x:c>
      <x:c r="E71" s="5">
        <x:v>4</x:v>
      </x:c>
      <x:c r="F71" s="5">
        <x:v>24</x:v>
      </x:c>
      <x:c r="G71" s="5">
        <x:v>30</x:v>
      </x:c>
      <x:c r="H71" s="5" t="s">
        <x:v>309</x:v>
      </x:c>
      <x:c r="I71" s="5" t="s">
        <x:v>310</x:v>
      </x:c>
    </x:row>
    <x:row r="72" ht="15">
      <x:c r="A72" s="5">
        <x:v>9</x:v>
      </x:c>
      <x:c r="B72" s="5">
        <x:v>48</x:v>
      </x:c>
      <x:c r="C72" s="5" t="s">
        <x:v>142</x:v>
      </x:c>
      <x:c r="D72" s="5">
        <x:v>4</x:v>
      </x:c>
      <x:c r="E72" s="5">
        <x:v>3</x:v>
      </x:c>
      <x:c r="F72" s="5">
        <x:v>32</x:v>
      </x:c>
      <x:c r="G72" s="5">
        <x:v>46</x:v>
      </x:c>
      <x:c r="H72" s="5" t="s">
        <x:v>309</x:v>
      </x:c>
      <x:c r="I72" s="5" t="s">
        <x:v>310</x:v>
      </x:c>
    </x:row>
    <x:row r="73" ht="15">
      <x:c r="A73" s="5">
        <x:v>9</x:v>
      </x:c>
      <x:c r="B73" s="5">
        <x:v>48</x:v>
      </x:c>
      <x:c r="C73" s="5" t="s">
        <x:v>145</x:v>
      </x:c>
      <x:c r="D73" s="5">
        <x:v>4</x:v>
      </x:c>
      <x:c r="E73" s="5">
        <x:v>3</x:v>
      </x:c>
      <x:c r="F73" s="5">
        <x:v>30</x:v>
      </x:c>
      <x:c r="G73" s="5">
        <x:v>49</x:v>
      </x:c>
      <x:c r="H73" s="5" t="s">
        <x:v>309</x:v>
      </x:c>
      <x:c r="I73" s="5" t="s">
        <x:v>310</x:v>
      </x:c>
    </x:row>
    <x:row r="74" ht="15">
      <x:c r="A74" s="5">
        <x:v>9</x:v>
      </x:c>
      <x:c r="B74" s="5">
        <x:v>48</x:v>
      </x:c>
      <x:c r="C74" s="5" t="s">
        <x:v>148</x:v>
      </x:c>
      <x:c r="D74" s="5">
        <x:v>2</x:v>
      </x:c>
      <x:c r="E74" s="5">
        <x:v>3</x:v>
      </x:c>
      <x:c r="F74" s="5">
        <x:v>20</x:v>
      </x:c>
      <x:c r="G74" s="5">
        <x:v>58</x:v>
      </x:c>
      <x:c r="H74" s="5" t="s">
        <x:v>309</x:v>
      </x:c>
      <x:c r="I74" s="5" t="s">
        <x:v>310</x:v>
      </x:c>
    </x:row>
    <x:row r="75" ht="15">
      <x:c r="A75" s="5">
        <x:v>9</x:v>
      </x:c>
      <x:c r="B75" s="5">
        <x:v>48</x:v>
      </x:c>
      <x:c r="C75" s="5" t="s">
        <x:v>153</x:v>
      </x:c>
      <x:c r="D75" s="5">
        <x:v>3</x:v>
      </x:c>
      <x:c r="E75" s="5">
        <x:v>5</x:v>
      </x:c>
      <x:c r="F75" s="5">
        <x:v>27</x:v>
      </x:c>
      <x:c r="G75" s="5">
        <x:v>14</x:v>
      </x:c>
      <x:c r="H75" s="5" t="s">
        <x:v>309</x:v>
      </x:c>
      <x:c r="I75" s="5" t="s">
        <x:v>310</x:v>
      </x:c>
    </x:row>
    <x:row r="76" ht="15">
      <x:c r="A76" s="5">
        <x:v>10</x:v>
      </x:c>
      <x:c r="B76" s="5">
        <x:v>54</x:v>
      </x:c>
      <x:c r="C76" s="5" t="s">
        <x:v>122</x:v>
      </x:c>
      <x:c r="D76" s="5">
        <x:v>3</x:v>
      </x:c>
      <x:c r="E76" s="5">
        <x:v>2</x:v>
      </x:c>
      <x:c r="F76" s="5">
        <x:v>25</x:v>
      </x:c>
      <x:c r="G76" s="5">
        <x:v>84</x:v>
      </x:c>
      <x:c r="H76" s="5" t="s">
        <x:v>309</x:v>
      </x:c>
      <x:c r="I76" s="5" t="s">
        <x:v>310</x:v>
      </x:c>
    </x:row>
    <x:row r="77" ht="15">
      <x:c r="A77" s="5">
        <x:v>10</x:v>
      </x:c>
      <x:c r="B77" s="5">
        <x:v>54</x:v>
      </x:c>
      <x:c r="C77" s="5" t="s">
        <x:v>129</x:v>
      </x:c>
      <x:c r="D77" s="5">
        <x:v>2</x:v>
      </x:c>
      <x:c r="E77" s="5">
        <x:v>3</x:v>
      </x:c>
      <x:c r="F77" s="5">
        <x:v>23</x:v>
      </x:c>
      <x:c r="G77" s="5">
        <x:v>66</x:v>
      </x:c>
      <x:c r="H77" s="5" t="s">
        <x:v>309</x:v>
      </x:c>
      <x:c r="I77" s="5" t="s">
        <x:v>310</x:v>
      </x:c>
    </x:row>
    <x:row r="78" ht="15">
      <x:c r="A78" s="5">
        <x:v>10</x:v>
      </x:c>
      <x:c r="B78" s="5">
        <x:v>54</x:v>
      </x:c>
      <x:c r="C78" s="5" t="s">
        <x:v>133</x:v>
      </x:c>
      <x:c r="D78" s="5">
        <x:v>4</x:v>
      </x:c>
      <x:c r="E78" s="5">
        <x:v>2</x:v>
      </x:c>
      <x:c r="F78" s="5">
        <x:v>26</x:v>
      </x:c>
      <x:c r="G78" s="5">
        <x:v>77</x:v>
      </x:c>
      <x:c r="H78" s="5" t="s">
        <x:v>309</x:v>
      </x:c>
      <x:c r="I78" s="5" t="s">
        <x:v>310</x:v>
      </x:c>
    </x:row>
    <x:row r="79" ht="15">
      <x:c r="A79" s="5">
        <x:v>10</x:v>
      </x:c>
      <x:c r="B79" s="5">
        <x:v>54</x:v>
      </x:c>
      <x:c r="C79" s="5" t="s">
        <x:v>137</x:v>
      </x:c>
      <x:c r="D79" s="5">
        <x:v>3</x:v>
      </x:c>
      <x:c r="E79" s="5">
        <x:v>4</x:v>
      </x:c>
      <x:c r="F79" s="5">
        <x:v>22</x:v>
      </x:c>
      <x:c r="G79" s="5">
        <x:v>29</x:v>
      </x:c>
      <x:c r="H79" s="5" t="s">
        <x:v>309</x:v>
      </x:c>
      <x:c r="I79" s="5" t="s">
        <x:v>310</x:v>
      </x:c>
    </x:row>
    <x:row r="80" ht="15">
      <x:c r="A80" s="5">
        <x:v>10</x:v>
      </x:c>
      <x:c r="B80" s="5">
        <x:v>54</x:v>
      </x:c>
      <x:c r="C80" s="5" t="s">
        <x:v>142</x:v>
      </x:c>
      <x:c r="D80" s="5">
        <x:v>5</x:v>
      </x:c>
      <x:c r="E80" s="5">
        <x:v>3</x:v>
      </x:c>
      <x:c r="F80" s="5">
        <x:v>32</x:v>
      </x:c>
      <x:c r="G80" s="5">
        <x:v>54</x:v>
      </x:c>
      <x:c r="H80" s="5" t="s">
        <x:v>309</x:v>
      </x:c>
      <x:c r="I80" s="5" t="s">
        <x:v>310</x:v>
      </x:c>
    </x:row>
    <x:row r="81" ht="15">
      <x:c r="A81" s="5">
        <x:v>10</x:v>
      </x:c>
      <x:c r="B81" s="5">
        <x:v>54</x:v>
      </x:c>
      <x:c r="C81" s="5" t="s">
        <x:v>145</x:v>
      </x:c>
      <x:c r="D81" s="5">
        <x:v>4</x:v>
      </x:c>
      <x:c r="E81" s="5">
        <x:v>4</x:v>
      </x:c>
      <x:c r="F81" s="5">
        <x:v>27</x:v>
      </x:c>
      <x:c r="G81" s="5">
        <x:v>29</x:v>
      </x:c>
      <x:c r="H81" s="5" t="s">
        <x:v>309</x:v>
      </x:c>
      <x:c r="I81" s="5" t="s">
        <x:v>310</x:v>
      </x:c>
    </x:row>
    <x:row r="82" ht="15">
      <x:c r="A82" s="5">
        <x:v>10</x:v>
      </x:c>
      <x:c r="B82" s="5">
        <x:v>54</x:v>
      </x:c>
      <x:c r="C82" s="5" t="s">
        <x:v>148</x:v>
      </x:c>
      <x:c r="D82" s="5">
        <x:v>2</x:v>
      </x:c>
      <x:c r="E82" s="5">
        <x:v>3</x:v>
      </x:c>
      <x:c r="F82" s="5">
        <x:v>24</x:v>
      </x:c>
      <x:c r="G82" s="5">
        <x:v>48</x:v>
      </x:c>
      <x:c r="H82" s="5" t="s">
        <x:v>309</x:v>
      </x:c>
      <x:c r="I82" s="5" t="s">
        <x:v>310</x:v>
      </x:c>
    </x:row>
    <x:row r="83" ht="15">
      <x:c r="A83" s="5">
        <x:v>10</x:v>
      </x:c>
      <x:c r="B83" s="5">
        <x:v>54</x:v>
      </x:c>
      <x:c r="C83" s="5" t="s">
        <x:v>153</x:v>
      </x:c>
      <x:c r="D83" s="5">
        <x:v>3</x:v>
      </x:c>
      <x:c r="E83" s="5">
        <x:v>4</x:v>
      </x:c>
      <x:c r="F83" s="5">
        <x:v>23</x:v>
      </x:c>
      <x:c r="G83" s="5">
        <x:v>38</x:v>
      </x:c>
      <x:c r="H83" s="5" t="s">
        <x:v>309</x:v>
      </x:c>
      <x:c r="I83" s="5" t="s">
        <x:v>310</x:v>
      </x:c>
    </x:row>
    <x:row r="84" ht="15">
      <x:c r="A84" s="5">
        <x:v>11</x:v>
      </x:c>
      <x:c r="B84" s="5">
        <x:v>60</x:v>
      </x:c>
      <x:c r="C84" s="5" t="s">
        <x:v>122</x:v>
      </x:c>
      <x:c r="D84" s="5">
        <x:v>3</x:v>
      </x:c>
      <x:c r="E84" s="5">
        <x:v>4</x:v>
      </x:c>
      <x:c r="F84" s="5">
        <x:v>29</x:v>
      </x:c>
      <x:c r="G84" s="5">
        <x:v>32</x:v>
      </x:c>
      <x:c r="H84" s="5" t="s">
        <x:v>309</x:v>
      </x:c>
      <x:c r="I84" s="5" t="s">
        <x:v>310</x:v>
      </x:c>
    </x:row>
    <x:row r="85" ht="15">
      <x:c r="A85" s="5">
        <x:v>11</x:v>
      </x:c>
      <x:c r="B85" s="5">
        <x:v>60</x:v>
      </x:c>
      <x:c r="C85" s="5" t="s">
        <x:v>129</x:v>
      </x:c>
      <x:c r="D85" s="5">
        <x:v>3</x:v>
      </x:c>
      <x:c r="E85" s="5">
        <x:v>3</x:v>
      </x:c>
      <x:c r="F85" s="5">
        <x:v>26</x:v>
      </x:c>
      <x:c r="G85" s="5">
        <x:v>53</x:v>
      </x:c>
      <x:c r="H85" s="5" t="s">
        <x:v>309</x:v>
      </x:c>
      <x:c r="I85" s="5" t="s">
        <x:v>310</x:v>
      </x:c>
    </x:row>
    <x:row r="86" ht="15">
      <x:c r="A86" s="5">
        <x:v>11</x:v>
      </x:c>
      <x:c r="B86" s="5">
        <x:v>60</x:v>
      </x:c>
      <x:c r="C86" s="5" t="s">
        <x:v>133</x:v>
      </x:c>
      <x:c r="D86" s="5">
        <x:v>3</x:v>
      </x:c>
      <x:c r="E86" s="5">
        <x:v>2</x:v>
      </x:c>
      <x:c r="F86" s="5">
        <x:v>28</x:v>
      </x:c>
      <x:c r="G86" s="5">
        <x:v>76</x:v>
      </x:c>
      <x:c r="H86" s="5" t="s">
        <x:v>309</x:v>
      </x:c>
      <x:c r="I86" s="5" t="s">
        <x:v>310</x:v>
      </x:c>
    </x:row>
    <x:row r="87" ht="15">
      <x:c r="A87" s="5">
        <x:v>11</x:v>
      </x:c>
      <x:c r="B87" s="5">
        <x:v>60</x:v>
      </x:c>
      <x:c r="C87" s="5" t="s">
        <x:v>137</x:v>
      </x:c>
      <x:c r="D87" s="5">
        <x:v>3</x:v>
      </x:c>
      <x:c r="E87" s="5">
        <x:v>3</x:v>
      </x:c>
      <x:c r="F87" s="5">
        <x:v>27</x:v>
      </x:c>
      <x:c r="G87" s="5">
        <x:v>57</x:v>
      </x:c>
      <x:c r="H87" s="5" t="s">
        <x:v>309</x:v>
      </x:c>
      <x:c r="I87" s="5" t="s">
        <x:v>310</x:v>
      </x:c>
    </x:row>
    <x:row r="88" ht="15">
      <x:c r="A88" s="5">
        <x:v>11</x:v>
      </x:c>
      <x:c r="B88" s="5">
        <x:v>60</x:v>
      </x:c>
      <x:c r="C88" s="5" t="s">
        <x:v>142</x:v>
      </x:c>
      <x:c r="D88" s="5">
        <x:v>4</x:v>
      </x:c>
      <x:c r="E88" s="5">
        <x:v>5</x:v>
      </x:c>
      <x:c r="F88" s="5">
        <x:v>33</x:v>
      </x:c>
      <x:c r="G88" s="5">
        <x:v>30</x:v>
      </x:c>
      <x:c r="H88" s="5" t="s">
        <x:v>309</x:v>
      </x:c>
      <x:c r="I88" s="5" t="s">
        <x:v>310</x:v>
      </x:c>
    </x:row>
    <x:row r="89" ht="15">
      <x:c r="A89" s="5">
        <x:v>11</x:v>
      </x:c>
      <x:c r="B89" s="5">
        <x:v>60</x:v>
      </x:c>
      <x:c r="C89" s="5" t="s">
        <x:v>145</x:v>
      </x:c>
      <x:c r="D89" s="5">
        <x:v>4</x:v>
      </x:c>
      <x:c r="E89" s="5">
        <x:v>3</x:v>
      </x:c>
      <x:c r="F89" s="5">
        <x:v>32</x:v>
      </x:c>
      <x:c r="G89" s="5">
        <x:v>51</x:v>
      </x:c>
      <x:c r="H89" s="5" t="s">
        <x:v>309</x:v>
      </x:c>
      <x:c r="I89" s="5" t="s">
        <x:v>310</x:v>
      </x:c>
    </x:row>
    <x:row r="90" ht="15">
      <x:c r="A90" s="5">
        <x:v>11</x:v>
      </x:c>
      <x:c r="B90" s="5">
        <x:v>60</x:v>
      </x:c>
      <x:c r="C90" s="5" t="s">
        <x:v>148</x:v>
      </x:c>
      <x:c r="D90" s="5">
        <x:v>2</x:v>
      </x:c>
      <x:c r="E90" s="5">
        <x:v>3</x:v>
      </x:c>
      <x:c r="F90" s="5">
        <x:v>20</x:v>
      </x:c>
      <x:c r="G90" s="5">
        <x:v>60</x:v>
      </x:c>
      <x:c r="H90" s="5" t="s">
        <x:v>309</x:v>
      </x:c>
      <x:c r="I90" s="5" t="s">
        <x:v>310</x:v>
      </x:c>
    </x:row>
    <x:row r="91" ht="15">
      <x:c r="A91" s="5">
        <x:v>11</x:v>
      </x:c>
      <x:c r="B91" s="5">
        <x:v>60</x:v>
      </x:c>
      <x:c r="C91" s="5" t="s">
        <x:v>153</x:v>
      </x:c>
      <x:c r="D91" s="5">
        <x:v>3</x:v>
      </x:c>
      <x:c r="E91" s="5">
        <x:v>5</x:v>
      </x:c>
      <x:c r="F91" s="5">
        <x:v>23</x:v>
      </x:c>
      <x:c r="G91" s="5">
        <x:v>22</x:v>
      </x:c>
      <x:c r="H91" s="5" t="s">
        <x:v>309</x:v>
      </x:c>
      <x:c r="I91" s="5" t="s">
        <x:v>310</x:v>
      </x:c>
    </x:row>
    <x:row r="92" ht="15">
      <x:c r="A92" s="5">
        <x:v>12</x:v>
      </x:c>
      <x:c r="B92" s="5">
        <x:v>66</x:v>
      </x:c>
      <x:c r="C92" s="5" t="s">
        <x:v>122</x:v>
      </x:c>
      <x:c r="D92" s="5">
        <x:v>3</x:v>
      </x:c>
      <x:c r="E92" s="5">
        <x:v>4</x:v>
      </x:c>
      <x:c r="F92" s="5">
        <x:v>28</x:v>
      </x:c>
      <x:c r="G92" s="5">
        <x:v>41</x:v>
      </x:c>
      <x:c r="H92" s="5" t="s">
        <x:v>309</x:v>
      </x:c>
      <x:c r="I92" s="5" t="s">
        <x:v>310</x:v>
      </x:c>
    </x:row>
    <x:row r="93" ht="15">
      <x:c r="A93" s="5">
        <x:v>12</x:v>
      </x:c>
      <x:c r="B93" s="5">
        <x:v>66</x:v>
      </x:c>
      <x:c r="C93" s="5" t="s">
        <x:v>129</x:v>
      </x:c>
      <x:c r="D93" s="5">
        <x:v>3</x:v>
      </x:c>
      <x:c r="E93" s="5">
        <x:v>4</x:v>
      </x:c>
      <x:c r="F93" s="5">
        <x:v>24</x:v>
      </x:c>
      <x:c r="G93" s="5">
        <x:v>33</x:v>
      </x:c>
      <x:c r="H93" s="5" t="s">
        <x:v>309</x:v>
      </x:c>
      <x:c r="I93" s="5" t="s">
        <x:v>310</x:v>
      </x:c>
    </x:row>
    <x:row r="94" ht="15">
      <x:c r="A94" s="5">
        <x:v>12</x:v>
      </x:c>
      <x:c r="B94" s="5">
        <x:v>66</x:v>
      </x:c>
      <x:c r="C94" s="5" t="s">
        <x:v>133</x:v>
      </x:c>
      <x:c r="D94" s="5">
        <x:v>4</x:v>
      </x:c>
      <x:c r="E94" s="5">
        <x:v>1</x:v>
      </x:c>
      <x:c r="F94" s="5">
        <x:v>27</x:v>
      </x:c>
      <x:c r="G94" s="5">
        <x:v>87</x:v>
      </x:c>
      <x:c r="H94" s="5" t="s">
        <x:v>309</x:v>
      </x:c>
      <x:c r="I94" s="5" t="s">
        <x:v>310</x:v>
      </x:c>
    </x:row>
    <x:row r="95" ht="15">
      <x:c r="A95" s="5">
        <x:v>12</x:v>
      </x:c>
      <x:c r="B95" s="5">
        <x:v>66</x:v>
      </x:c>
      <x:c r="C95" s="5" t="s">
        <x:v>137</x:v>
      </x:c>
      <x:c r="D95" s="5">
        <x:v>2</x:v>
      </x:c>
      <x:c r="E95" s="5">
        <x:v>5</x:v>
      </x:c>
      <x:c r="F95" s="5">
        <x:v>24</x:v>
      </x:c>
      <x:c r="G95" s="5">
        <x:v>10</x:v>
      </x:c>
      <x:c r="H95" s="5" t="s">
        <x:v>309</x:v>
      </x:c>
      <x:c r="I95" s="5" t="s">
        <x:v>310</x:v>
      </x:c>
    </x:row>
    <x:row r="96" ht="15">
      <x:c r="A96" s="5">
        <x:v>12</x:v>
      </x:c>
      <x:c r="B96" s="5">
        <x:v>66</x:v>
      </x:c>
      <x:c r="C96" s="5" t="s">
        <x:v>142</x:v>
      </x:c>
      <x:c r="D96" s="5">
        <x:v>4</x:v>
      </x:c>
      <x:c r="E96" s="5">
        <x:v>3</x:v>
      </x:c>
      <x:c r="F96" s="5">
        <x:v>31</x:v>
      </x:c>
      <x:c r="G96" s="5">
        <x:v>59</x:v>
      </x:c>
      <x:c r="H96" s="5" t="s">
        <x:v>309</x:v>
      </x:c>
      <x:c r="I96" s="5" t="s">
        <x:v>310</x:v>
      </x:c>
    </x:row>
    <x:row r="97" ht="15">
      <x:c r="A97" s="5">
        <x:v>12</x:v>
      </x:c>
      <x:c r="B97" s="5">
        <x:v>66</x:v>
      </x:c>
      <x:c r="C97" s="5" t="s">
        <x:v>145</x:v>
      </x:c>
      <x:c r="D97" s="5">
        <x:v>5</x:v>
      </x:c>
      <x:c r="E97" s="5">
        <x:v>4</x:v>
      </x:c>
      <x:c r="F97" s="5">
        <x:v>40</x:v>
      </x:c>
      <x:c r="G97" s="5">
        <x:v>48</x:v>
      </x:c>
      <x:c r="H97" s="5" t="s">
        <x:v>309</x:v>
      </x:c>
      <x:c r="I97" s="5" t="s">
        <x:v>310</x:v>
      </x:c>
    </x:row>
    <x:row r="98" ht="15">
      <x:c r="A98" s="5">
        <x:v>12</x:v>
      </x:c>
      <x:c r="B98" s="5">
        <x:v>66</x:v>
      </x:c>
      <x:c r="C98" s="5" t="s">
        <x:v>148</x:v>
      </x:c>
      <x:c r="D98" s="5">
        <x:v>1</x:v>
      </x:c>
      <x:c r="E98" s="5">
        <x:v>3</x:v>
      </x:c>
      <x:c r="F98" s="5">
        <x:v>16</x:v>
      </x:c>
      <x:c r="G98" s="5">
        <x:v>62</x:v>
      </x:c>
      <x:c r="H98" s="5" t="s">
        <x:v>309</x:v>
      </x:c>
      <x:c r="I98" s="5" t="s">
        <x:v>310</x:v>
      </x:c>
    </x:row>
    <x:row r="99" ht="15">
      <x:c r="A99" s="5">
        <x:v>12</x:v>
      </x:c>
      <x:c r="B99" s="5">
        <x:v>66</x:v>
      </x:c>
      <x:c r="C99" s="5" t="s">
        <x:v>153</x:v>
      </x:c>
      <x:c r="D99" s="5">
        <x:v>3</x:v>
      </x:c>
      <x:c r="E99" s="5">
        <x:v>5</x:v>
      </x:c>
      <x:c r="F99" s="5">
        <x:v>26</x:v>
      </x:c>
      <x:c r="G99" s="5">
        <x:v>11</x:v>
      </x:c>
      <x:c r="H99" s="5" t="s">
        <x:v>309</x:v>
      </x:c>
      <x:c r="I99" s="5" t="s">
        <x:v>310</x:v>
      </x:c>
    </x:row>
  </x:sheetData>
  <x:mergeCells>
    <x:mergeCell ref="A1:I1"/>
  </x:mergeCells>
  <x:conditionalFormatting sqref="D4:D9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553c0aa2ac747e2"/>
  </x:tableParts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3" width="16" customWidth="1"/>
    <x:col min="4" max="4" width="12" customWidth="1"/>
    <x:col min="5" max="5" width="18" customWidth="1"/>
    <x:col min="6" max="6" width="52" customWidth="1"/>
    <x:col min="7" max="7" width="18" customWidth="1"/>
    <x:col min="8" max="9" width="16" customWidth="1"/>
    <x:col min="10" max="10" width="20" customWidth="1"/>
    <x:col min="11" max="11" width="18" customWidth="1"/>
    <x:col min="12" max="12" width="42" customWidth="1"/>
  </x:cols>
  <x:sheetData>
    <x:row r="1" ht="40" customHeight="1">
      <x:c r="A1" s="13" t="s">
        <x:v>312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16">
      <x:c r="A3" s="1" t="s">
        <x:v>313</x:v>
      </x:c>
      <x:c r="B3" s="1" t="s">
        <x:v>302</x:v>
      </x:c>
      <x:c r="C3" s="1" t="s">
        <x:v>314</x:v>
      </x:c>
      <x:c r="D3" s="1" t="s">
        <x:v>114</x:v>
      </x:c>
      <x:c r="E3" s="1" t="s">
        <x:v>315</x:v>
      </x:c>
      <x:c r="F3" s="1" t="s">
        <x:v>316</x:v>
      </x:c>
      <x:c r="G3" s="1" t="s">
        <x:v>317</x:v>
      </x:c>
      <x:c r="H3" s="1" t="s">
        <x:v>318</x:v>
      </x:c>
      <x:c r="I3" s="1" t="s">
        <x:v>319</x:v>
      </x:c>
      <x:c r="J3" s="1" t="s">
        <x:v>320</x:v>
      </x:c>
      <x:c r="K3" s="1" t="s">
        <x:v>321</x:v>
      </x:c>
      <x:c r="L3" s="1" t="s">
        <x:v>238</x:v>
      </x:c>
    </x:row>
    <x:row r="4" ht="15">
      <x:c r="A4" s="5" t="s">
        <x:v>322</x:v>
      </x:c>
      <x:c r="B4" s="5">
        <x:v>1</x:v>
      </x:c>
      <x:c r="C4" s="5" t="s">
        <x:v>90</x:v>
      </x:c>
      <x:c r="D4" s="5" t="s">
        <x:v>142</x:v>
      </x:c>
      <x:c r="E4" s="5" t="s">
        <x:v>323</x:v>
      </x:c>
      <x:c r="F4" s="5" t="s">
        <x:v>324</x:v>
      </x:c>
      <x:c r="G4" s="5" t="s">
        <x:v>325</x:v>
      </x:c>
      <x:c r="H4" s="5">
        <x:v>88</x:v>
      </x:c>
      <x:c r="I4" s="5">
        <x:v>1</x:v>
      </x:c>
      <x:c r="J4" s="5">
        <x:v>1</x:v>
      </x:c>
      <x:c r="K4" s="5" t="s">
        <x:v>326</x:v>
      </x:c>
      <x:c r="L4" s="5" t="s">
        <x:v>327</x:v>
      </x:c>
    </x:row>
    <x:row r="5" ht="15">
      <x:c r="A5" s="5" t="s">
        <x:v>328</x:v>
      </x:c>
      <x:c r="B5" s="5">
        <x:v>1</x:v>
      </x:c>
      <x:c r="C5" s="5" t="s">
        <x:v>90</x:v>
      </x:c>
      <x:c r="D5" s="5" t="s">
        <x:v>129</x:v>
      </x:c>
      <x:c r="E5" s="5" t="s">
        <x:v>329</x:v>
      </x:c>
      <x:c r="F5" s="5" t="s">
        <x:v>330</x:v>
      </x:c>
      <x:c r="G5" s="5" t="s">
        <x:v>325</x:v>
      </x:c>
      <x:c r="H5" s="5">
        <x:v>63</x:v>
      </x:c>
      <x:c r="I5" s="5">
        <x:v>5</x:v>
      </x:c>
      <x:c r="J5" s="5">
        <x:v>5</x:v>
      </x:c>
      <x:c r="K5" s="5" t="s">
        <x:v>326</x:v>
      </x:c>
      <x:c r="L5" s="5" t="s">
        <x:v>327</x:v>
      </x:c>
    </x:row>
    <x:row r="6" ht="15">
      <x:c r="A6" s="5" t="s">
        <x:v>331</x:v>
      </x:c>
      <x:c r="B6" s="5">
        <x:v>1</x:v>
      </x:c>
      <x:c r="C6" s="5" t="s">
        <x:v>96</x:v>
      </x:c>
      <x:c r="D6" s="5" t="s">
        <x:v>122</x:v>
      </x:c>
      <x:c r="E6" s="5" t="s">
        <x:v>323</x:v>
      </x:c>
      <x:c r="F6" s="5" t="s">
        <x:v>332</x:v>
      </x:c>
      <x:c r="G6" s="5" t="s">
        <x:v>325</x:v>
      </x:c>
      <x:c r="H6" s="5">
        <x:v>57</x:v>
      </x:c>
      <x:c r="I6" s="5">
        <x:v>5</x:v>
      </x:c>
      <x:c r="J6" s="5">
        <x:v>5</x:v>
      </x:c>
      <x:c r="K6" s="5" t="s">
        <x:v>326</x:v>
      </x:c>
      <x:c r="L6" s="5" t="s">
        <x:v>327</x:v>
      </x:c>
    </x:row>
    <x:row r="7" ht="15">
      <x:c r="A7" s="5" t="s">
        <x:v>333</x:v>
      </x:c>
      <x:c r="B7" s="5">
        <x:v>2</x:v>
      </x:c>
      <x:c r="C7" s="5" t="s">
        <x:v>90</x:v>
      </x:c>
      <x:c r="D7" s="5" t="s">
        <x:v>137</x:v>
      </x:c>
      <x:c r="E7" s="5" t="s">
        <x:v>323</x:v>
      </x:c>
      <x:c r="F7" s="5" t="s">
        <x:v>324</x:v>
      </x:c>
      <x:c r="G7" s="5" t="s">
        <x:v>334</x:v>
      </x:c>
      <x:c r="H7" s="5">
        <x:v>88</x:v>
      </x:c>
      <x:c r="I7" s="5">
        <x:v>1</x:v>
      </x:c>
      <x:c r="J7" s="5">
        <x:v>1</x:v>
      </x:c>
      <x:c r="K7" s="5" t="s">
        <x:v>335</x:v>
      </x:c>
      <x:c r="L7" s="5" t="s">
        <x:v>327</x:v>
      </x:c>
    </x:row>
    <x:row r="8" ht="15">
      <x:c r="A8" s="5" t="s">
        <x:v>336</x:v>
      </x:c>
      <x:c r="B8" s="5">
        <x:v>2</x:v>
      </x:c>
      <x:c r="C8" s="5" t="s">
        <x:v>90</x:v>
      </x:c>
      <x:c r="D8" s="5" t="s">
        <x:v>129</x:v>
      </x:c>
      <x:c r="E8" s="5" t="s">
        <x:v>323</x:v>
      </x:c>
      <x:c r="F8" s="5" t="s">
        <x:v>337</x:v>
      </x:c>
      <x:c r="G8" s="5" t="s">
        <x:v>338</x:v>
      </x:c>
      <x:c r="H8" s="5">
        <x:v>48</x:v>
      </x:c>
      <x:c r="I8" s="5">
        <x:v>2</x:v>
      </x:c>
      <x:c r="J8" s="5">
        <x:v>2</x:v>
      </x:c>
      <x:c r="K8" s="5" t="s">
        <x:v>326</x:v>
      </x:c>
      <x:c r="L8" s="5" t="s">
        <x:v>327</x:v>
      </x:c>
    </x:row>
    <x:row r="9" ht="15">
      <x:c r="A9" s="5" t="s">
        <x:v>339</x:v>
      </x:c>
      <x:c r="B9" s="5">
        <x:v>2</x:v>
      </x:c>
      <x:c r="C9" s="5" t="s">
        <x:v>96</x:v>
      </x:c>
      <x:c r="D9" s="5" t="s">
        <x:v>145</x:v>
      </x:c>
      <x:c r="E9" s="5" t="s">
        <x:v>340</x:v>
      </x:c>
      <x:c r="F9" s="5" t="s">
        <x:v>341</x:v>
      </x:c>
      <x:c r="G9" s="5" t="s">
        <x:v>338</x:v>
      </x:c>
      <x:c r="H9" s="5">
        <x:v>87</x:v>
      </x:c>
      <x:c r="I9" s="5">
        <x:v>5</x:v>
      </x:c>
      <x:c r="J9" s="5">
        <x:v>4</x:v>
      </x:c>
      <x:c r="K9" s="5" t="s">
        <x:v>326</x:v>
      </x:c>
      <x:c r="L9" s="5" t="s">
        <x:v>327</x:v>
      </x:c>
    </x:row>
    <x:row r="10" ht="15">
      <x:c r="A10" s="5" t="s">
        <x:v>342</x:v>
      </x:c>
      <x:c r="B10" s="5">
        <x:v>3</x:v>
      </x:c>
      <x:c r="C10" s="5" t="s">
        <x:v>90</x:v>
      </x:c>
      <x:c r="D10" s="5" t="s">
        <x:v>145</x:v>
      </x:c>
      <x:c r="E10" s="5" t="s">
        <x:v>343</x:v>
      </x:c>
      <x:c r="F10" s="5" t="s">
        <x:v>344</x:v>
      </x:c>
      <x:c r="G10" s="5" t="s">
        <x:v>345</x:v>
      </x:c>
      <x:c r="H10" s="5">
        <x:v>51</x:v>
      </x:c>
      <x:c r="I10" s="5">
        <x:v>4</x:v>
      </x:c>
      <x:c r="J10" s="5">
        <x:v>4</x:v>
      </x:c>
      <x:c r="K10" s="5" t="s">
        <x:v>326</x:v>
      </x:c>
      <x:c r="L10" s="5" t="s">
        <x:v>327</x:v>
      </x:c>
    </x:row>
    <x:row r="11" ht="15">
      <x:c r="A11" s="5" t="s">
        <x:v>346</x:v>
      </x:c>
      <x:c r="B11" s="5">
        <x:v>3</x:v>
      </x:c>
      <x:c r="C11" s="5" t="s">
        <x:v>90</x:v>
      </x:c>
      <x:c r="D11" s="5" t="s">
        <x:v>122</x:v>
      </x:c>
      <x:c r="E11" s="5" t="s">
        <x:v>343</x:v>
      </x:c>
      <x:c r="F11" s="5" t="s">
        <x:v>347</x:v>
      </x:c>
      <x:c r="G11" s="5" t="s">
        <x:v>325</x:v>
      </x:c>
      <x:c r="H11" s="5">
        <x:v>59</x:v>
      </x:c>
      <x:c r="I11" s="5">
        <x:v>1</x:v>
      </x:c>
      <x:c r="J11" s="5">
        <x:v>1</x:v>
      </x:c>
      <x:c r="K11" s="5" t="s">
        <x:v>335</x:v>
      </x:c>
      <x:c r="L11" s="5" t="s">
        <x:v>327</x:v>
      </x:c>
    </x:row>
    <x:row r="12" ht="15">
      <x:c r="A12" s="5" t="s">
        <x:v>348</x:v>
      </x:c>
      <x:c r="B12" s="5">
        <x:v>3</x:v>
      </x:c>
      <x:c r="C12" s="5" t="s">
        <x:v>96</x:v>
      </x:c>
      <x:c r="D12" s="5" t="s">
        <x:v>133</x:v>
      </x:c>
      <x:c r="E12" s="5" t="s">
        <x:v>323</x:v>
      </x:c>
      <x:c r="F12" s="5" t="s">
        <x:v>337</x:v>
      </x:c>
      <x:c r="G12" s="5" t="s">
        <x:v>334</x:v>
      </x:c>
      <x:c r="H12" s="5">
        <x:v>64</x:v>
      </x:c>
      <x:c r="I12" s="5">
        <x:v>2</x:v>
      </x:c>
      <x:c r="J12" s="5">
        <x:v>3</x:v>
      </x:c>
      <x:c r="K12" s="5" t="s">
        <x:v>326</x:v>
      </x:c>
      <x:c r="L12" s="5" t="s">
        <x:v>327</x:v>
      </x:c>
    </x:row>
    <x:row r="13" ht="15">
      <x:c r="A13" s="5" t="s">
        <x:v>349</x:v>
      </x:c>
      <x:c r="B13" s="5">
        <x:v>4</x:v>
      </x:c>
      <x:c r="C13" s="5" t="s">
        <x:v>90</x:v>
      </x:c>
      <x:c r="D13" s="5" t="s">
        <x:v>142</x:v>
      </x:c>
      <x:c r="E13" s="5" t="s">
        <x:v>323</x:v>
      </x:c>
      <x:c r="F13" s="5" t="s">
        <x:v>324</x:v>
      </x:c>
      <x:c r="G13" s="5" t="s">
        <x:v>345</x:v>
      </x:c>
      <x:c r="H13" s="5">
        <x:v>75</x:v>
      </x:c>
      <x:c r="I13" s="5">
        <x:v>1</x:v>
      </x:c>
      <x:c r="J13" s="5">
        <x:v>1</x:v>
      </x:c>
      <x:c r="K13" s="5" t="s">
        <x:v>326</x:v>
      </x:c>
      <x:c r="L13" s="5" t="s">
        <x:v>327</x:v>
      </x:c>
    </x:row>
    <x:row r="14" ht="15">
      <x:c r="A14" s="5" t="s">
        <x:v>350</x:v>
      </x:c>
      <x:c r="B14" s="5">
        <x:v>4</x:v>
      </x:c>
      <x:c r="C14" s="5" t="s">
        <x:v>90</x:v>
      </x:c>
      <x:c r="D14" s="5" t="s">
        <x:v>137</x:v>
      </x:c>
      <x:c r="E14" s="5" t="s">
        <x:v>343</x:v>
      </x:c>
      <x:c r="F14" s="5" t="s">
        <x:v>347</x:v>
      </x:c>
      <x:c r="G14" s="5" t="s">
        <x:v>325</x:v>
      </x:c>
      <x:c r="H14" s="5">
        <x:v>69</x:v>
      </x:c>
      <x:c r="I14" s="5">
        <x:v>1</x:v>
      </x:c>
      <x:c r="J14" s="5">
        <x:v>1</x:v>
      </x:c>
      <x:c r="K14" s="5" t="s">
        <x:v>326</x:v>
      </x:c>
      <x:c r="L14" s="5" t="s">
        <x:v>327</x:v>
      </x:c>
    </x:row>
    <x:row r="15" ht="15">
      <x:c r="A15" s="5" t="s">
        <x:v>351</x:v>
      </x:c>
      <x:c r="B15" s="5">
        <x:v>4</x:v>
      </x:c>
      <x:c r="C15" s="5" t="s">
        <x:v>96</x:v>
      </x:c>
      <x:c r="D15" s="5" t="s">
        <x:v>137</x:v>
      </x:c>
      <x:c r="E15" s="5" t="s">
        <x:v>352</x:v>
      </x:c>
      <x:c r="F15" s="5" t="s">
        <x:v>353</x:v>
      </x:c>
      <x:c r="G15" s="5" t="s">
        <x:v>334</x:v>
      </x:c>
      <x:c r="H15" s="5">
        <x:v>57</x:v>
      </x:c>
      <x:c r="I15" s="5">
        <x:v>3</x:v>
      </x:c>
      <x:c r="J15" s="5">
        <x:v>2</x:v>
      </x:c>
      <x:c r="K15" s="5" t="s">
        <x:v>335</x:v>
      </x:c>
      <x:c r="L15" s="5" t="s">
        <x:v>327</x:v>
      </x:c>
    </x:row>
    <x:row r="16" ht="15">
      <x:c r="A16" s="5" t="s">
        <x:v>354</x:v>
      </x:c>
      <x:c r="B16" s="5">
        <x:v>5</x:v>
      </x:c>
      <x:c r="C16" s="5" t="s">
        <x:v>90</x:v>
      </x:c>
      <x:c r="D16" s="5" t="s">
        <x:v>122</x:v>
      </x:c>
      <x:c r="E16" s="5" t="s">
        <x:v>340</x:v>
      </x:c>
      <x:c r="F16" s="5" t="s">
        <x:v>355</x:v>
      </x:c>
      <x:c r="G16" s="5" t="s">
        <x:v>345</x:v>
      </x:c>
      <x:c r="H16" s="5">
        <x:v>69</x:v>
      </x:c>
      <x:c r="I16" s="5">
        <x:v>4</x:v>
      </x:c>
      <x:c r="J16" s="5">
        <x:v>3</x:v>
      </x:c>
      <x:c r="K16" s="5" t="s">
        <x:v>326</x:v>
      </x:c>
      <x:c r="L16" s="5" t="s">
        <x:v>327</x:v>
      </x:c>
    </x:row>
    <x:row r="17" ht="15">
      <x:c r="A17" s="5" t="s">
        <x:v>356</x:v>
      </x:c>
      <x:c r="B17" s="5">
        <x:v>5</x:v>
      </x:c>
      <x:c r="C17" s="5" t="s">
        <x:v>90</x:v>
      </x:c>
      <x:c r="D17" s="5" t="s">
        <x:v>122</x:v>
      </x:c>
      <x:c r="E17" s="5" t="s">
        <x:v>343</x:v>
      </x:c>
      <x:c r="F17" s="5" t="s">
        <x:v>344</x:v>
      </x:c>
      <x:c r="G17" s="5" t="s">
        <x:v>325</x:v>
      </x:c>
      <x:c r="H17" s="5">
        <x:v>85</x:v>
      </x:c>
      <x:c r="I17" s="5">
        <x:v>4</x:v>
      </x:c>
      <x:c r="J17" s="5">
        <x:v>3</x:v>
      </x:c>
      <x:c r="K17" s="5" t="s">
        <x:v>326</x:v>
      </x:c>
      <x:c r="L17" s="5" t="s">
        <x:v>327</x:v>
      </x:c>
    </x:row>
    <x:row r="18" ht="15">
      <x:c r="A18" s="5" t="s">
        <x:v>357</x:v>
      </x:c>
      <x:c r="B18" s="5">
        <x:v>5</x:v>
      </x:c>
      <x:c r="C18" s="5" t="s">
        <x:v>96</x:v>
      </x:c>
      <x:c r="D18" s="5" t="s">
        <x:v>122</x:v>
      </x:c>
      <x:c r="E18" s="5" t="s">
        <x:v>329</x:v>
      </x:c>
      <x:c r="F18" s="5" t="s">
        <x:v>358</x:v>
      </x:c>
      <x:c r="G18" s="5" t="s">
        <x:v>325</x:v>
      </x:c>
      <x:c r="H18" s="5">
        <x:v>89</x:v>
      </x:c>
      <x:c r="I18" s="5">
        <x:v>3</x:v>
      </x:c>
      <x:c r="J18" s="5">
        <x:v>2</x:v>
      </x:c>
      <x:c r="K18" s="5" t="s">
        <x:v>326</x:v>
      </x:c>
      <x:c r="L18" s="5" t="s">
        <x:v>327</x:v>
      </x:c>
    </x:row>
    <x:row r="19" ht="15">
      <x:c r="A19" s="5" t="s">
        <x:v>359</x:v>
      </x:c>
      <x:c r="B19" s="5">
        <x:v>6</x:v>
      </x:c>
      <x:c r="C19" s="5" t="s">
        <x:v>90</x:v>
      </x:c>
      <x:c r="D19" s="5" t="s">
        <x:v>145</x:v>
      </x:c>
      <x:c r="E19" s="5" t="s">
        <x:v>360</x:v>
      </x:c>
      <x:c r="F19" s="5" t="s">
        <x:v>361</x:v>
      </x:c>
      <x:c r="G19" s="5" t="s">
        <x:v>345</x:v>
      </x:c>
      <x:c r="H19" s="5">
        <x:v>58</x:v>
      </x:c>
      <x:c r="I19" s="5">
        <x:v>1</x:v>
      </x:c>
      <x:c r="J19" s="5">
        <x:v>1</x:v>
      </x:c>
      <x:c r="K19" s="5" t="s">
        <x:v>335</x:v>
      </x:c>
      <x:c r="L19" s="5" t="s">
        <x:v>327</x:v>
      </x:c>
    </x:row>
    <x:row r="20" ht="15">
      <x:c r="A20" s="5" t="s">
        <x:v>362</x:v>
      </x:c>
      <x:c r="B20" s="5">
        <x:v>6</x:v>
      </x:c>
      <x:c r="C20" s="5" t="s">
        <x:v>90</x:v>
      </x:c>
      <x:c r="D20" s="5" t="s">
        <x:v>129</x:v>
      </x:c>
      <x:c r="E20" s="5" t="s">
        <x:v>343</x:v>
      </x:c>
      <x:c r="F20" s="5" t="s">
        <x:v>363</x:v>
      </x:c>
      <x:c r="G20" s="5" t="s">
        <x:v>338</x:v>
      </x:c>
      <x:c r="H20" s="5">
        <x:v>81</x:v>
      </x:c>
      <x:c r="I20" s="5">
        <x:v>5</x:v>
      </x:c>
      <x:c r="J20" s="5">
        <x:v>5</x:v>
      </x:c>
      <x:c r="K20" s="5" t="s">
        <x:v>326</x:v>
      </x:c>
      <x:c r="L20" s="5" t="s">
        <x:v>327</x:v>
      </x:c>
    </x:row>
    <x:row r="21" ht="15">
      <x:c r="A21" s="5" t="s">
        <x:v>364</x:v>
      </x:c>
      <x:c r="B21" s="5">
        <x:v>6</x:v>
      </x:c>
      <x:c r="C21" s="5" t="s">
        <x:v>96</x:v>
      </x:c>
      <x:c r="D21" s="5" t="s">
        <x:v>142</x:v>
      </x:c>
      <x:c r="E21" s="5" t="s">
        <x:v>340</x:v>
      </x:c>
      <x:c r="F21" s="5" t="s">
        <x:v>341</x:v>
      </x:c>
      <x:c r="G21" s="5" t="s">
        <x:v>338</x:v>
      </x:c>
      <x:c r="H21" s="5">
        <x:v>64</x:v>
      </x:c>
      <x:c r="I21" s="5">
        <x:v>5</x:v>
      </x:c>
      <x:c r="J21" s="5">
        <x:v>5</x:v>
      </x:c>
      <x:c r="K21" s="5" t="s">
        <x:v>326</x:v>
      </x:c>
      <x:c r="L21" s="5" t="s">
        <x:v>327</x:v>
      </x:c>
    </x:row>
    <x:row r="22" ht="15">
      <x:c r="A22" s="5" t="s">
        <x:v>365</x:v>
      </x:c>
      <x:c r="B22" s="5">
        <x:v>7</x:v>
      </x:c>
      <x:c r="C22" s="5" t="s">
        <x:v>90</x:v>
      </x:c>
      <x:c r="D22" s="5" t="s">
        <x:v>142</x:v>
      </x:c>
      <x:c r="E22" s="5" t="s">
        <x:v>360</x:v>
      </x:c>
      <x:c r="F22" s="5" t="s">
        <x:v>366</x:v>
      </x:c>
      <x:c r="G22" s="5" t="s">
        <x:v>338</x:v>
      </x:c>
      <x:c r="H22" s="5">
        <x:v>74</x:v>
      </x:c>
      <x:c r="I22" s="5">
        <x:v>4</x:v>
      </x:c>
      <x:c r="J22" s="5">
        <x:v>5</x:v>
      </x:c>
      <x:c r="K22" s="5" t="s">
        <x:v>326</x:v>
      </x:c>
      <x:c r="L22" s="5" t="s">
        <x:v>327</x:v>
      </x:c>
    </x:row>
    <x:row r="23" ht="15">
      <x:c r="A23" s="5" t="s">
        <x:v>367</x:v>
      </x:c>
      <x:c r="B23" s="5">
        <x:v>7</x:v>
      </x:c>
      <x:c r="C23" s="5" t="s">
        <x:v>90</x:v>
      </x:c>
      <x:c r="D23" s="5" t="s">
        <x:v>133</x:v>
      </x:c>
      <x:c r="E23" s="5" t="s">
        <x:v>352</x:v>
      </x:c>
      <x:c r="F23" s="5" t="s">
        <x:v>368</x:v>
      </x:c>
      <x:c r="G23" s="5" t="s">
        <x:v>345</x:v>
      </x:c>
      <x:c r="H23" s="5">
        <x:v>74</x:v>
      </x:c>
      <x:c r="I23" s="5">
        <x:v>5</x:v>
      </x:c>
      <x:c r="J23" s="5">
        <x:v>4</x:v>
      </x:c>
      <x:c r="K23" s="5" t="s">
        <x:v>335</x:v>
      </x:c>
      <x:c r="L23" s="5" t="s">
        <x:v>327</x:v>
      </x:c>
    </x:row>
    <x:row r="24" ht="15">
      <x:c r="A24" s="5" t="s">
        <x:v>369</x:v>
      </x:c>
      <x:c r="B24" s="5">
        <x:v>7</x:v>
      </x:c>
      <x:c r="C24" s="5" t="s">
        <x:v>96</x:v>
      </x:c>
      <x:c r="D24" s="5" t="s">
        <x:v>145</x:v>
      </x:c>
      <x:c r="E24" s="5" t="s">
        <x:v>352</x:v>
      </x:c>
      <x:c r="F24" s="5" t="s">
        <x:v>370</x:v>
      </x:c>
      <x:c r="G24" s="5" t="s">
        <x:v>334</x:v>
      </x:c>
      <x:c r="H24" s="5">
        <x:v>89</x:v>
      </x:c>
      <x:c r="I24" s="5">
        <x:v>4</x:v>
      </x:c>
      <x:c r="J24" s="5">
        <x:v>5</x:v>
      </x:c>
      <x:c r="K24" s="5" t="s">
        <x:v>326</x:v>
      </x:c>
      <x:c r="L24" s="5" t="s">
        <x:v>327</x:v>
      </x:c>
    </x:row>
    <x:row r="25" ht="15">
      <x:c r="A25" s="5" t="s">
        <x:v>371</x:v>
      </x:c>
      <x:c r="B25" s="5">
        <x:v>8</x:v>
      </x:c>
      <x:c r="C25" s="5" t="s">
        <x:v>90</x:v>
      </x:c>
      <x:c r="D25" s="5" t="s">
        <x:v>122</x:v>
      </x:c>
      <x:c r="E25" s="5" t="s">
        <x:v>352</x:v>
      </x:c>
      <x:c r="F25" s="5" t="s">
        <x:v>370</x:v>
      </x:c>
      <x:c r="G25" s="5" t="s">
        <x:v>345</x:v>
      </x:c>
      <x:c r="H25" s="5">
        <x:v>77</x:v>
      </x:c>
      <x:c r="I25" s="5">
        <x:v>4</x:v>
      </x:c>
      <x:c r="J25" s="5">
        <x:v>5</x:v>
      </x:c>
      <x:c r="K25" s="5" t="s">
        <x:v>326</x:v>
      </x:c>
      <x:c r="L25" s="5" t="s">
        <x:v>327</x:v>
      </x:c>
    </x:row>
    <x:row r="26" ht="15">
      <x:c r="A26" s="5" t="s">
        <x:v>372</x:v>
      </x:c>
      <x:c r="B26" s="5">
        <x:v>8</x:v>
      </x:c>
      <x:c r="C26" s="5" t="s">
        <x:v>90</x:v>
      </x:c>
      <x:c r="D26" s="5" t="s">
        <x:v>145</x:v>
      </x:c>
      <x:c r="E26" s="5" t="s">
        <x:v>352</x:v>
      </x:c>
      <x:c r="F26" s="5" t="s">
        <x:v>370</x:v>
      </x:c>
      <x:c r="G26" s="5" t="s">
        <x:v>325</x:v>
      </x:c>
      <x:c r="H26" s="5">
        <x:v>59</x:v>
      </x:c>
      <x:c r="I26" s="5">
        <x:v>4</x:v>
      </x:c>
      <x:c r="J26" s="5">
        <x:v>4</x:v>
      </x:c>
      <x:c r="K26" s="5" t="s">
        <x:v>326</x:v>
      </x:c>
      <x:c r="L26" s="5" t="s">
        <x:v>327</x:v>
      </x:c>
    </x:row>
    <x:row r="27" ht="15">
      <x:c r="A27" s="5" t="s">
        <x:v>373</x:v>
      </x:c>
      <x:c r="B27" s="5">
        <x:v>8</x:v>
      </x:c>
      <x:c r="C27" s="5" t="s">
        <x:v>96</x:v>
      </x:c>
      <x:c r="D27" s="5" t="s">
        <x:v>129</x:v>
      </x:c>
      <x:c r="E27" s="5" t="s">
        <x:v>343</x:v>
      </x:c>
      <x:c r="F27" s="5" t="s">
        <x:v>374</x:v>
      </x:c>
      <x:c r="G27" s="5" t="s">
        <x:v>325</x:v>
      </x:c>
      <x:c r="H27" s="5">
        <x:v>81</x:v>
      </x:c>
      <x:c r="I27" s="5">
        <x:v>3</x:v>
      </x:c>
      <x:c r="J27" s="5">
        <x:v>3</x:v>
      </x:c>
      <x:c r="K27" s="5" t="s">
        <x:v>335</x:v>
      </x:c>
      <x:c r="L27" s="5" t="s">
        <x:v>327</x:v>
      </x:c>
    </x:row>
    <x:row r="28" ht="15">
      <x:c r="A28" s="5" t="s">
        <x:v>375</x:v>
      </x:c>
      <x:c r="B28" s="5">
        <x:v>9</x:v>
      </x:c>
      <x:c r="C28" s="5" t="s">
        <x:v>90</x:v>
      </x:c>
      <x:c r="D28" s="5" t="s">
        <x:v>133</x:v>
      </x:c>
      <x:c r="E28" s="5" t="s">
        <x:v>352</x:v>
      </x:c>
      <x:c r="F28" s="5" t="s">
        <x:v>370</x:v>
      </x:c>
      <x:c r="G28" s="5" t="s">
        <x:v>325</x:v>
      </x:c>
      <x:c r="H28" s="5">
        <x:v>61</x:v>
      </x:c>
      <x:c r="I28" s="5">
        <x:v>4</x:v>
      </x:c>
      <x:c r="J28" s="5">
        <x:v>4</x:v>
      </x:c>
      <x:c r="K28" s="5" t="s">
        <x:v>326</x:v>
      </x:c>
      <x:c r="L28" s="5" t="s">
        <x:v>327</x:v>
      </x:c>
    </x:row>
    <x:row r="29" ht="15">
      <x:c r="A29" s="5" t="s">
        <x:v>376</x:v>
      </x:c>
      <x:c r="B29" s="5">
        <x:v>9</x:v>
      </x:c>
      <x:c r="C29" s="5" t="s">
        <x:v>90</x:v>
      </x:c>
      <x:c r="D29" s="5" t="s">
        <x:v>137</x:v>
      </x:c>
      <x:c r="E29" s="5" t="s">
        <x:v>329</x:v>
      </x:c>
      <x:c r="F29" s="5" t="s">
        <x:v>330</x:v>
      </x:c>
      <x:c r="G29" s="5" t="s">
        <x:v>334</x:v>
      </x:c>
      <x:c r="H29" s="5">
        <x:v>80</x:v>
      </x:c>
      <x:c r="I29" s="5">
        <x:v>5</x:v>
      </x:c>
      <x:c r="J29" s="5">
        <x:v>5</x:v>
      </x:c>
      <x:c r="K29" s="5" t="s">
        <x:v>326</x:v>
      </x:c>
      <x:c r="L29" s="5" t="s">
        <x:v>327</x:v>
      </x:c>
    </x:row>
    <x:row r="30" ht="15">
      <x:c r="A30" s="5" t="s">
        <x:v>377</x:v>
      </x:c>
      <x:c r="B30" s="5">
        <x:v>9</x:v>
      </x:c>
      <x:c r="C30" s="5" t="s">
        <x:v>96</x:v>
      </x:c>
      <x:c r="D30" s="5" t="s">
        <x:v>122</x:v>
      </x:c>
      <x:c r="E30" s="5" t="s">
        <x:v>352</x:v>
      </x:c>
      <x:c r="F30" s="5" t="s">
        <x:v>378</x:v>
      </x:c>
      <x:c r="G30" s="5" t="s">
        <x:v>345</x:v>
      </x:c>
      <x:c r="H30" s="5">
        <x:v>68</x:v>
      </x:c>
      <x:c r="I30" s="5">
        <x:v>2</x:v>
      </x:c>
      <x:c r="J30" s="5">
        <x:v>3</x:v>
      </x:c>
      <x:c r="K30" s="5" t="s">
        <x:v>326</x:v>
      </x:c>
      <x:c r="L30" s="5" t="s">
        <x:v>327</x:v>
      </x:c>
    </x:row>
    <x:row r="31" ht="15">
      <x:c r="A31" s="5" t="s">
        <x:v>379</x:v>
      </x:c>
      <x:c r="B31" s="5">
        <x:v>10</x:v>
      </x:c>
      <x:c r="C31" s="5" t="s">
        <x:v>90</x:v>
      </x:c>
      <x:c r="D31" s="5" t="s">
        <x:v>122</x:v>
      </x:c>
      <x:c r="E31" s="5" t="s">
        <x:v>323</x:v>
      </x:c>
      <x:c r="F31" s="5" t="s">
        <x:v>337</x:v>
      </x:c>
      <x:c r="G31" s="5" t="s">
        <x:v>345</x:v>
      </x:c>
      <x:c r="H31" s="5">
        <x:v>75</x:v>
      </x:c>
      <x:c r="I31" s="5">
        <x:v>2</x:v>
      </x:c>
      <x:c r="J31" s="5">
        <x:v>2</x:v>
      </x:c>
      <x:c r="K31" s="5" t="s">
        <x:v>335</x:v>
      </x:c>
      <x:c r="L31" s="5" t="s">
        <x:v>327</x:v>
      </x:c>
    </x:row>
    <x:row r="32" ht="15">
      <x:c r="A32" s="5" t="s">
        <x:v>380</x:v>
      </x:c>
      <x:c r="B32" s="5">
        <x:v>10</x:v>
      </x:c>
      <x:c r="C32" s="5" t="s">
        <x:v>90</x:v>
      </x:c>
      <x:c r="D32" s="5" t="s">
        <x:v>133</x:v>
      </x:c>
      <x:c r="E32" s="5" t="s">
        <x:v>323</x:v>
      </x:c>
      <x:c r="F32" s="5" t="s">
        <x:v>381</x:v>
      </x:c>
      <x:c r="G32" s="5" t="s">
        <x:v>338</x:v>
      </x:c>
      <x:c r="H32" s="5">
        <x:v>64</x:v>
      </x:c>
      <x:c r="I32" s="5">
        <x:v>4</x:v>
      </x:c>
      <x:c r="J32" s="5">
        <x:v>4</x:v>
      </x:c>
      <x:c r="K32" s="5" t="s">
        <x:v>326</x:v>
      </x:c>
      <x:c r="L32" s="5" t="s">
        <x:v>327</x:v>
      </x:c>
    </x:row>
    <x:row r="33" ht="15">
      <x:c r="A33" s="5" t="s">
        <x:v>382</x:v>
      </x:c>
      <x:c r="B33" s="5">
        <x:v>10</x:v>
      </x:c>
      <x:c r="C33" s="5" t="s">
        <x:v>96</x:v>
      </x:c>
      <x:c r="D33" s="5" t="s">
        <x:v>145</x:v>
      </x:c>
      <x:c r="E33" s="5" t="s">
        <x:v>360</x:v>
      </x:c>
      <x:c r="F33" s="5" t="s">
        <x:v>361</x:v>
      </x:c>
      <x:c r="G33" s="5" t="s">
        <x:v>325</x:v>
      </x:c>
      <x:c r="H33" s="5">
        <x:v>84</x:v>
      </x:c>
      <x:c r="I33" s="5">
        <x:v>1</x:v>
      </x:c>
      <x:c r="J33" s="5">
        <x:v>1</x:v>
      </x:c>
      <x:c r="K33" s="5" t="s">
        <x:v>326</x:v>
      </x:c>
      <x:c r="L33" s="5" t="s">
        <x:v>327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3098d0793c84a45"/>
  </x:tableParts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2" width="14" customWidth="1"/>
    <x:col min="3" max="3" width="28" customWidth="1"/>
    <x:col min="4" max="4" width="16" customWidth="1"/>
    <x:col min="5" max="5" width="12" customWidth="1"/>
    <x:col min="6" max="6" width="16" customWidth="1"/>
    <x:col min="7" max="7" width="46" customWidth="1"/>
    <x:col min="8" max="9" width="16" customWidth="1"/>
    <x:col min="10" max="10" width="18" customWidth="1"/>
    <x:col min="11" max="11" width="16" customWidth="1"/>
    <x:col min="12" max="12" width="22" customWidth="1"/>
    <x:col min="13" max="13" width="14" customWidth="1"/>
  </x:cols>
  <x:sheetData>
    <x:row r="1" ht="40" customHeight="1">
      <x:c r="A1" s="13" t="s">
        <x:v>383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16">
      <x:c r="A3" s="1" t="s">
        <x:v>384</x:v>
      </x:c>
      <x:c r="B3" s="1" t="s">
        <x:v>385</x:v>
      </x:c>
      <x:c r="C3" s="1" t="s">
        <x:v>386</x:v>
      </x:c>
      <x:c r="D3" s="1" t="s">
        <x:v>387</x:v>
      </x:c>
      <x:c r="E3" s="1" t="s">
        <x:v>114</x:v>
      </x:c>
      <x:c r="F3" s="1" t="s">
        <x:v>388</x:v>
      </x:c>
      <x:c r="G3" s="1" t="s">
        <x:v>389</x:v>
      </x:c>
      <x:c r="H3" s="1" t="s">
        <x:v>390</x:v>
      </x:c>
      <x:c r="I3" s="1" t="s">
        <x:v>391</x:v>
      </x:c>
      <x:c r="J3" s="1" t="s">
        <x:v>392</x:v>
      </x:c>
      <x:c r="K3" s="1" t="s">
        <x:v>393</x:v>
      </x:c>
      <x:c r="L3" s="1" t="s">
        <x:v>394</x:v>
      </x:c>
      <x:c r="M3" s="1" t="s">
        <x:v>395</x:v>
      </x:c>
    </x:row>
    <x:row r="4" ht="15">
      <x:c r="A4" s="5" t="s">
        <x:v>396</x:v>
      </x:c>
      <x:c r="B4" s="5">
        <x:v>2</x:v>
      </x:c>
      <x:c r="C4" s="5" t="s">
        <x:v>397</x:v>
      </x:c>
      <x:c r="D4" s="5" t="s">
        <x:v>191</x:v>
      </x:c>
      <x:c r="E4" s="5" t="s">
        <x:v>129</x:v>
      </x:c>
      <x:c r="F4" s="5" t="s">
        <x:v>107</x:v>
      </x:c>
      <x:c r="G4" s="5" t="s">
        <x:v>398</x:v>
      </x:c>
      <x:c r="H4" s="5">
        <x:v>0</x:v>
      </x:c>
      <x:c r="I4" s="5">
        <x:v>-6</x:v>
      </x:c>
      <x:c r="J4" s="5">
        <x:v>-4</x:v>
      </x:c>
      <x:c r="K4" s="5">
        <x:v>0</x:v>
      </x:c>
      <x:c r="L4" s="5">
        <x:v>8</x:v>
      </x:c>
      <x:c r="M4" s="5" t="s">
        <x:v>399</x:v>
      </x:c>
    </x:row>
    <x:row r="5" ht="15">
      <x:c r="A5" s="5" t="s">
        <x:v>400</x:v>
      </x:c>
      <x:c r="B5" s="5">
        <x:v>3</x:v>
      </x:c>
      <x:c r="C5" s="5" t="s">
        <x:v>401</x:v>
      </x:c>
      <x:c r="D5" s="5" t="s">
        <x:v>402</x:v>
      </x:c>
      <x:c r="E5" s="5" t="s">
        <x:v>148</x:v>
      </x:c>
      <x:c r="F5" s="5" t="s">
        <x:v>90</x:v>
      </x:c>
      <x:c r="G5" s="5" t="s">
        <x:v>403</x:v>
      </x:c>
      <x:c r="H5" s="5">
        <x:v>-4</x:v>
      </x:c>
      <x:c r="I5" s="5">
        <x:v>0</x:v>
      </x:c>
      <x:c r="J5" s="5">
        <x:v>0</x:v>
      </x:c>
      <x:c r="K5" s="5">
        <x:v>-3</x:v>
      </x:c>
      <x:c r="L5" s="5">
        <x:v>10</x:v>
      </x:c>
      <x:c r="M5" s="5" t="s">
        <x:v>404</x:v>
      </x:c>
    </x:row>
    <x:row r="6" ht="15">
      <x:c r="A6" s="5" t="s">
        <x:v>405</x:v>
      </x:c>
      <x:c r="B6" s="5">
        <x:v>4</x:v>
      </x:c>
      <x:c r="C6" s="5" t="s">
        <x:v>406</x:v>
      </x:c>
      <x:c r="D6" s="5" t="s">
        <x:v>207</x:v>
      </x:c>
      <x:c r="E6" s="5" t="s">
        <x:v>122</x:v>
      </x:c>
      <x:c r="F6" s="5" t="s">
        <x:v>90</x:v>
      </x:c>
      <x:c r="G6" s="5" t="s">
        <x:v>407</x:v>
      </x:c>
      <x:c r="H6" s="5">
        <x:v>-8</x:v>
      </x:c>
      <x:c r="I6" s="5">
        <x:v>0</x:v>
      </x:c>
      <x:c r="J6" s="5">
        <x:v>-2</x:v>
      </x:c>
      <x:c r="K6" s="5">
        <x:v>-5</x:v>
      </x:c>
      <x:c r="L6" s="5">
        <x:v>0</x:v>
      </x:c>
      <x:c r="M6" s="5" t="s">
        <x:v>399</x:v>
      </x:c>
    </x:row>
    <x:row r="7" ht="15">
      <x:c r="A7" s="5" t="s">
        <x:v>408</x:v>
      </x:c>
      <x:c r="B7" s="5">
        <x:v>5</x:v>
      </x:c>
      <x:c r="C7" s="5" t="s">
        <x:v>409</x:v>
      </x:c>
      <x:c r="D7" s="5" t="s">
        <x:v>410</x:v>
      </x:c>
      <x:c r="E7" s="5" t="s">
        <x:v>133</x:v>
      </x:c>
      <x:c r="F7" s="5" t="s">
        <x:v>411</x:v>
      </x:c>
      <x:c r="G7" s="5" t="s">
        <x:v>412</x:v>
      </x:c>
      <x:c r="H7" s="5">
        <x:v>-6</x:v>
      </x:c>
      <x:c r="I7" s="5">
        <x:v>-8</x:v>
      </x:c>
      <x:c r="J7" s="5">
        <x:v>-4</x:v>
      </x:c>
      <x:c r="K7" s="5">
        <x:v>0</x:v>
      </x:c>
      <x:c r="L7" s="5">
        <x:v>4</x:v>
      </x:c>
      <x:c r="M7" s="5" t="s">
        <x:v>399</x:v>
      </x:c>
    </x:row>
    <x:row r="8" ht="15">
      <x:c r="A8" s="5" t="s">
        <x:v>413</x:v>
      </x:c>
      <x:c r="B8" s="5">
        <x:v>6</x:v>
      </x:c>
      <x:c r="C8" s="5" t="s">
        <x:v>414</x:v>
      </x:c>
      <x:c r="D8" s="5" t="s">
        <x:v>188</x:v>
      </x:c>
      <x:c r="E8" s="5" t="s">
        <x:v>148</x:v>
      </x:c>
      <x:c r="F8" s="5" t="s">
        <x:v>90</x:v>
      </x:c>
      <x:c r="G8" s="5" t="s">
        <x:v>415</x:v>
      </x:c>
      <x:c r="H8" s="5">
        <x:v>-3</x:v>
      </x:c>
      <x:c r="I8" s="5">
        <x:v>0</x:v>
      </x:c>
      <x:c r="J8" s="5">
        <x:v>-10</x:v>
      </x:c>
      <x:c r="K8" s="5">
        <x:v>0</x:v>
      </x:c>
      <x:c r="L8" s="5">
        <x:v>0</x:v>
      </x:c>
      <x:c r="M8" s="5" t="s">
        <x:v>404</x:v>
      </x:c>
    </x:row>
    <x:row r="9" ht="15">
      <x:c r="A9" s="5" t="s">
        <x:v>416</x:v>
      </x:c>
      <x:c r="B9" s="5">
        <x:v>6</x:v>
      </x:c>
      <x:c r="C9" s="5" t="s">
        <x:v>417</x:v>
      </x:c>
      <x:c r="D9" s="5" t="s">
        <x:v>418</x:v>
      </x:c>
      <x:c r="E9" s="5" t="s">
        <x:v>153</x:v>
      </x:c>
      <x:c r="F9" s="5" t="s">
        <x:v>90</x:v>
      </x:c>
      <x:c r="G9" s="5" t="s">
        <x:v>419</x:v>
      </x:c>
      <x:c r="H9" s="5">
        <x:v>8</x:v>
      </x:c>
      <x:c r="I9" s="5">
        <x:v>0</x:v>
      </x:c>
      <x:c r="J9" s="5">
        <x:v>0</x:v>
      </x:c>
      <x:c r="K9" s="5">
        <x:v>4</x:v>
      </x:c>
      <x:c r="L9" s="5">
        <x:v>0</x:v>
      </x:c>
      <x:c r="M9" s="5" t="s">
        <x:v>404</x:v>
      </x:c>
    </x:row>
    <x:row r="10" ht="15">
      <x:c r="A10" s="5" t="s">
        <x:v>420</x:v>
      </x:c>
      <x:c r="B10" s="5">
        <x:v>7</x:v>
      </x:c>
      <x:c r="C10" s="5" t="s">
        <x:v>421</x:v>
      </x:c>
      <x:c r="D10" s="5" t="s">
        <x:v>422</x:v>
      </x:c>
      <x:c r="E10" s="5" t="s">
        <x:v>153</x:v>
      </x:c>
      <x:c r="F10" s="5" t="s">
        <x:v>411</x:v>
      </x:c>
      <x:c r="G10" s="5" t="s">
        <x:v>423</x:v>
      </x:c>
      <x:c r="H10" s="5">
        <x:v>0</x:v>
      </x:c>
      <x:c r="I10" s="5">
        <x:v>0</x:v>
      </x:c>
      <x:c r="J10" s="5">
        <x:v>0</x:v>
      </x:c>
      <x:c r="K10" s="5">
        <x:v>6</x:v>
      </x:c>
      <x:c r="L10" s="5">
        <x:v>-4</x:v>
      </x:c>
      <x:c r="M10" s="5" t="s">
        <x:v>399</x:v>
      </x:c>
    </x:row>
    <x:row r="11" ht="15">
      <x:c r="A11" s="5" t="s">
        <x:v>424</x:v>
      </x:c>
      <x:c r="B11" s="5">
        <x:v>8</x:v>
      </x:c>
      <x:c r="C11" s="5" t="s">
        <x:v>425</x:v>
      </x:c>
      <x:c r="D11" s="5" t="s">
        <x:v>191</x:v>
      </x:c>
      <x:c r="E11" s="5" t="s">
        <x:v>148</x:v>
      </x:c>
      <x:c r="F11" s="5" t="s">
        <x:v>90</x:v>
      </x:c>
      <x:c r="G11" s="5" t="s">
        <x:v>426</x:v>
      </x:c>
      <x:c r="H11" s="5">
        <x:v>0</x:v>
      </x:c>
      <x:c r="I11" s="5">
        <x:v>0</x:v>
      </x:c>
      <x:c r="J11" s="5">
        <x:v>-7</x:v>
      </x:c>
      <x:c r="K11" s="5">
        <x:v>0</x:v>
      </x:c>
      <x:c r="L11" s="5">
        <x:v>8</x:v>
      </x:c>
      <x:c r="M11" s="5" t="s">
        <x:v>404</x:v>
      </x:c>
    </x:row>
    <x:row r="12" ht="15">
      <x:c r="A12" s="5" t="s">
        <x:v>427</x:v>
      </x:c>
      <x:c r="B12" s="5">
        <x:v>9</x:v>
      </x:c>
      <x:c r="C12" s="5" t="s">
        <x:v>428</x:v>
      </x:c>
      <x:c r="D12" s="5" t="s">
        <x:v>171</x:v>
      </x:c>
      <x:c r="E12" s="5" t="s">
        <x:v>148</x:v>
      </x:c>
      <x:c r="F12" s="5" t="s">
        <x:v>90</x:v>
      </x:c>
      <x:c r="G12" s="5" t="s">
        <x:v>429</x:v>
      </x:c>
      <x:c r="H12" s="5">
        <x:v>6</x:v>
      </x:c>
      <x:c r="I12" s="5">
        <x:v>0</x:v>
      </x:c>
      <x:c r="J12" s="5">
        <x:v>0</x:v>
      </x:c>
      <x:c r="K12" s="5">
        <x:v>8</x:v>
      </x:c>
      <x:c r="L12" s="5">
        <x:v>0</x:v>
      </x:c>
      <x:c r="M12" s="5" t="s">
        <x:v>404</x:v>
      </x:c>
    </x:row>
    <x:row r="13" ht="15">
      <x:c r="A13" s="5" t="s">
        <x:v>430</x:v>
      </x:c>
      <x:c r="B13" s="5">
        <x:v>10</x:v>
      </x:c>
      <x:c r="C13" s="5" t="s">
        <x:v>431</x:v>
      </x:c>
      <x:c r="D13" s="5" t="s">
        <x:v>422</x:v>
      </x:c>
      <x:c r="E13" s="5" t="s">
        <x:v>153</x:v>
      </x:c>
      <x:c r="F13" s="5" t="s">
        <x:v>101</x:v>
      </x:c>
      <x:c r="G13" s="5" t="s">
        <x:v>432</x:v>
      </x:c>
      <x:c r="H13" s="5">
        <x:v>-4</x:v>
      </x:c>
      <x:c r="I13" s="5">
        <x:v>0</x:v>
      </x:c>
      <x:c r="J13" s="5">
        <x:v>-2</x:v>
      </x:c>
      <x:c r="K13" s="5">
        <x:v>0</x:v>
      </x:c>
      <x:c r="L13" s="5">
        <x:v>0</x:v>
      </x:c>
      <x:c r="M13" s="5" t="s">
        <x:v>399</x:v>
      </x:c>
    </x:row>
    <x:row r="14" ht="15">
      <x:c r="A14" s="5" t="s">
        <x:v>433</x:v>
      </x:c>
      <x:c r="B14" s="5">
        <x:v>11</x:v>
      </x:c>
      <x:c r="C14" s="5" t="s">
        <x:v>434</x:v>
      </x:c>
      <x:c r="D14" s="5" t="s">
        <x:v>191</x:v>
      </x:c>
      <x:c r="E14" s="5" t="s">
        <x:v>145</x:v>
      </x:c>
      <x:c r="F14" s="5" t="s">
        <x:v>107</x:v>
      </x:c>
      <x:c r="G14" s="5" t="s">
        <x:v>435</x:v>
      </x:c>
      <x:c r="H14" s="5">
        <x:v>0</x:v>
      </x:c>
      <x:c r="I14" s="5">
        <x:v>0</x:v>
      </x:c>
      <x:c r="J14" s="5">
        <x:v>-5</x:v>
      </x:c>
      <x:c r="K14" s="5">
        <x:v>0</x:v>
      </x:c>
      <x:c r="L14" s="5">
        <x:v>12</x:v>
      </x:c>
      <x:c r="M14" s="5" t="s">
        <x:v>399</x:v>
      </x:c>
    </x:row>
    <x:row r="15" ht="15">
      <x:c r="A15" s="5" t="s">
        <x:v>436</x:v>
      </x:c>
      <x:c r="B15" s="5">
        <x:v>12</x:v>
      </x:c>
      <x:c r="C15" s="5" t="s">
        <x:v>437</x:v>
      </x:c>
      <x:c r="D15" s="5" t="s">
        <x:v>422</x:v>
      </x:c>
      <x:c r="E15" s="5" t="s">
        <x:v>153</x:v>
      </x:c>
      <x:c r="F15" s="5" t="s">
        <x:v>411</x:v>
      </x:c>
      <x:c r="G15" s="5" t="s">
        <x:v>438</x:v>
      </x:c>
      <x:c r="H15" s="5">
        <x:v>0</x:v>
      </x:c>
      <x:c r="I15" s="5">
        <x:v>0</x:v>
      </x:c>
      <x:c r="J15" s="5">
        <x:v>0</x:v>
      </x:c>
      <x:c r="K15" s="5">
        <x:v>10</x:v>
      </x:c>
      <x:c r="L15" s="5">
        <x:v>-6</x:v>
      </x:c>
      <x:c r="M15" s="5" t="s">
        <x:v>399</x:v>
      </x:c>
    </x:row>
    <x:row r="16" ht="28">
      <x:c r="A16" s="10" t="s">
        <x:v>439</x:v>
      </x:c>
      <x:c r="B16" s="10">
        <x:v>3</x:v>
      </x:c>
      <x:c r="C16" s="10" t="s">
        <x:v>440</x:v>
      </x:c>
      <x:c r="D16" s="10" t="s">
        <x:v>171</x:v>
      </x:c>
      <x:c r="E16" s="10" t="s">
        <x:v>148</x:v>
      </x:c>
      <x:c r="F16" s="10" t="s">
        <x:v>90</x:v>
      </x:c>
      <x:c r="G16" s="10" t="s">
        <x:v>441</x:v>
      </x:c>
      <x:c r="H16" s="10">
        <x:v>2</x:v>
      </x:c>
      <x:c r="I16" s="10">
        <x:v>0</x:v>
      </x:c>
      <x:c r="J16" s="10">
        <x:v>-1</x:v>
      </x:c>
      <x:c r="K16" s="10">
        <x:v>3</x:v>
      </x:c>
      <x:c r="L16" s="10">
        <x:v>0</x:v>
      </x:c>
      <x:c r="M16" s="10" t="s">
        <x:v>404</x:v>
      </x:c>
    </x:row>
    <x:row r="17">
      <x:c r="A17" s="11" t="s">
        <x:v>442</x:v>
      </x:c>
      <x:c r="B17" s="11">
        <x:v>5</x:v>
      </x:c>
      <x:c r="C17" s="11" t="s">
        <x:v>443</x:v>
      </x:c>
      <x:c r="D17" s="11" t="s">
        <x:v>171</x:v>
      </x:c>
      <x:c r="E17" s="11" t="s">
        <x:v>153</x:v>
      </x:c>
      <x:c r="F17" s="11" t="s">
        <x:v>90</x:v>
      </x:c>
      <x:c r="G17" s="11" t="s">
        <x:v>444</x:v>
      </x:c>
      <x:c r="H17" s="11">
        <x:v>2</x:v>
      </x:c>
      <x:c r="I17" s="11">
        <x:v>0</x:v>
      </x:c>
      <x:c r="J17" s="11">
        <x:v>0</x:v>
      </x:c>
      <x:c r="K17" s="11">
        <x:v>6</x:v>
      </x:c>
      <x:c r="L17" s="11">
        <x:v>0</x:v>
      </x:c>
      <x:c r="M17" s="11" t="s">
        <x:v>404</x:v>
      </x:c>
    </x:row>
    <x:row r="18">
      <x:c r="A18" s="10" t="s">
        <x:v>445</x:v>
      </x:c>
      <x:c r="B18" s="10">
        <x:v>7</x:v>
      </x:c>
      <x:c r="C18" s="10" t="s">
        <x:v>446</x:v>
      </x:c>
      <x:c r="D18" s="10" t="s">
        <x:v>171</x:v>
      </x:c>
      <x:c r="E18" s="10" t="s">
        <x:v>153</x:v>
      </x:c>
      <x:c r="F18" s="10" t="s">
        <x:v>90</x:v>
      </x:c>
      <x:c r="G18" s="10" t="s">
        <x:v>447</x:v>
      </x:c>
      <x:c r="H18" s="10">
        <x:v>3</x:v>
      </x:c>
      <x:c r="I18" s="10">
        <x:v>0</x:v>
      </x:c>
      <x:c r="J18" s="10">
        <x:v>-1</x:v>
      </x:c>
      <x:c r="K18" s="10">
        <x:v>5</x:v>
      </x:c>
      <x:c r="L18" s="10">
        <x:v>0</x:v>
      </x:c>
      <x:c r="M18" s="10" t="s">
        <x:v>404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85fd0ed529754927"/>
  </x:tableParts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4" width="12" customWidth="1"/>
    <x:col min="5" max="5" width="28" customWidth="1"/>
    <x:col min="6" max="7" width="18" customWidth="1"/>
    <x:col min="8" max="8" width="52" customWidth="1"/>
    <x:col min="9" max="9" width="14" customWidth="1"/>
    <x:col min="10" max="10" width="28" customWidth="1"/>
  </x:cols>
  <x:sheetData>
    <x:row r="1" ht="40" customHeight="1">
      <x:c r="A1" s="13" t="s">
        <x:v>448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3" ht="16">
      <x:c r="A3" s="1" t="s">
        <x:v>449</x:v>
      </x:c>
      <x:c r="B3" s="1" t="s">
        <x:v>302</x:v>
      </x:c>
      <x:c r="C3" s="1" t="s">
        <x:v>84</x:v>
      </x:c>
      <x:c r="D3" s="1" t="s">
        <x:v>114</x:v>
      </x:c>
      <x:c r="E3" s="1" t="s">
        <x:v>450</x:v>
      </x:c>
      <x:c r="F3" s="1" t="s">
        <x:v>451</x:v>
      </x:c>
      <x:c r="G3" s="1" t="s">
        <x:v>452</x:v>
      </x:c>
      <x:c r="H3" s="1" t="s">
        <x:v>453</x:v>
      </x:c>
      <x:c r="I3" s="1" t="s">
        <x:v>454</x:v>
      </x:c>
      <x:c r="J3" s="1" t="s">
        <x:v>238</x:v>
      </x:c>
    </x:row>
    <x:row r="4" ht="15">
      <x:c r="A4" s="5" t="s">
        <x:v>455</x:v>
      </x:c>
      <x:c r="B4" s="5">
        <x:v>1</x:v>
      </x:c>
      <x:c r="C4" s="5" t="s">
        <x:v>90</x:v>
      </x:c>
      <x:c r="D4" s="5" t="s">
        <x:v>129</x:v>
      </x:c>
      <x:c r="E4" s="5" t="s">
        <x:v>456</x:v>
      </x:c>
      <x:c r="F4" s="5">
        <x:v>14</x:v>
      </x:c>
      <x:c r="G4" s="5">
        <x:v>3</x:v>
      </x:c>
      <x:c r="H4" s="5" t="s">
        <x:v>457</x:v>
      </x:c>
      <x:c r="I4" s="5" t="s">
        <x:v>458</x:v>
      </x:c>
      <x:c r="J4" s="5" t="s">
        <x:v>459</x:v>
      </x:c>
    </x:row>
    <x:row r="5" ht="30">
      <x:c r="A5" s="5" t="s">
        <x:v>460</x:v>
      </x:c>
      <x:c r="B5" s="5">
        <x:v>1</x:v>
      </x:c>
      <x:c r="C5" s="5" t="s">
        <x:v>96</x:v>
      </x:c>
      <x:c r="D5" s="5" t="s">
        <x:v>122</x:v>
      </x:c>
      <x:c r="E5" s="5" t="s">
        <x:v>461</x:v>
      </x:c>
      <x:c r="F5" s="5">
        <x:v>26</x:v>
      </x:c>
      <x:c r="G5" s="5">
        <x:v>4</x:v>
      </x:c>
      <x:c r="H5" s="5" t="s">
        <x:v>462</x:v>
      </x:c>
      <x:c r="I5" s="5" t="s">
        <x:v>458</x:v>
      </x:c>
      <x:c r="J5" s="5" t="s">
        <x:v>459</x:v>
      </x:c>
    </x:row>
    <x:row r="6" ht="15">
      <x:c r="A6" s="5" t="s">
        <x:v>463</x:v>
      </x:c>
      <x:c r="B6" s="5">
        <x:v>1</x:v>
      </x:c>
      <x:c r="C6" s="5" t="s">
        <x:v>101</x:v>
      </x:c>
      <x:c r="D6" s="5" t="s">
        <x:v>133</x:v>
      </x:c>
      <x:c r="E6" s="5" t="s">
        <x:v>464</x:v>
      </x:c>
      <x:c r="F6" s="5">
        <x:v>28</x:v>
      </x:c>
      <x:c r="G6" s="5">
        <x:v>4</x:v>
      </x:c>
      <x:c r="H6" s="5" t="s">
        <x:v>465</x:v>
      </x:c>
      <x:c r="I6" s="5" t="s">
        <x:v>458</x:v>
      </x:c>
      <x:c r="J6" s="5" t="s">
        <x:v>459</x:v>
      </x:c>
    </x:row>
    <x:row r="7" ht="15">
      <x:c r="A7" s="5" t="s">
        <x:v>466</x:v>
      </x:c>
      <x:c r="B7" s="5">
        <x:v>2</x:v>
      </x:c>
      <x:c r="C7" s="5" t="s">
        <x:v>90</x:v>
      </x:c>
      <x:c r="D7" s="5" t="s">
        <x:v>137</x:v>
      </x:c>
      <x:c r="E7" s="5" t="s">
        <x:v>467</x:v>
      </x:c>
      <x:c r="F7" s="5">
        <x:v>10</x:v>
      </x:c>
      <x:c r="G7" s="5">
        <x:v>5</x:v>
      </x:c>
      <x:c r="H7" s="5" t="s">
        <x:v>468</x:v>
      </x:c>
      <x:c r="I7" s="5" t="s">
        <x:v>458</x:v>
      </x:c>
      <x:c r="J7" s="5" t="s">
        <x:v>459</x:v>
      </x:c>
    </x:row>
    <x:row r="8" ht="30">
      <x:c r="A8" s="5" t="s">
        <x:v>469</x:v>
      </x:c>
      <x:c r="B8" s="5">
        <x:v>2</x:v>
      </x:c>
      <x:c r="C8" s="5" t="s">
        <x:v>96</x:v>
      </x:c>
      <x:c r="D8" s="5" t="s">
        <x:v>137</x:v>
      </x:c>
      <x:c r="E8" s="5" t="s">
        <x:v>461</x:v>
      </x:c>
      <x:c r="F8" s="5">
        <x:v>10</x:v>
      </x:c>
      <x:c r="G8" s="5">
        <x:v>5</x:v>
      </x:c>
      <x:c r="H8" s="5" t="s">
        <x:v>470</x:v>
      </x:c>
      <x:c r="I8" s="5" t="s">
        <x:v>458</x:v>
      </x:c>
      <x:c r="J8" s="5" t="s">
        <x:v>459</x:v>
      </x:c>
    </x:row>
    <x:row r="9" ht="30">
      <x:c r="A9" s="5" t="s">
        <x:v>471</x:v>
      </x:c>
      <x:c r="B9" s="5">
        <x:v>2</x:v>
      </x:c>
      <x:c r="C9" s="5" t="s">
        <x:v>101</x:v>
      </x:c>
      <x:c r="D9" s="5" t="s">
        <x:v>133</x:v>
      </x:c>
      <x:c r="E9" s="5" t="s">
        <x:v>472</x:v>
      </x:c>
      <x:c r="F9" s="5">
        <x:v>16</x:v>
      </x:c>
      <x:c r="G9" s="5">
        <x:v>4</x:v>
      </x:c>
      <x:c r="H9" s="5" t="s">
        <x:v>473</x:v>
      </x:c>
      <x:c r="I9" s="5" t="s">
        <x:v>458</x:v>
      </x:c>
      <x:c r="J9" s="5" t="s">
        <x:v>459</x:v>
      </x:c>
    </x:row>
    <x:row r="10" ht="15">
      <x:c r="A10" s="5" t="s">
        <x:v>474</x:v>
      </x:c>
      <x:c r="B10" s="5">
        <x:v>3</x:v>
      </x:c>
      <x:c r="C10" s="5" t="s">
        <x:v>90</x:v>
      </x:c>
      <x:c r="D10" s="5" t="s">
        <x:v>122</x:v>
      </x:c>
      <x:c r="E10" s="5" t="s">
        <x:v>475</x:v>
      </x:c>
      <x:c r="F10" s="5">
        <x:v>23</x:v>
      </x:c>
      <x:c r="G10" s="5">
        <x:v>2</x:v>
      </x:c>
      <x:c r="H10" s="5" t="s">
        <x:v>476</x:v>
      </x:c>
      <x:c r="I10" s="5" t="s">
        <x:v>458</x:v>
      </x:c>
      <x:c r="J10" s="5" t="s">
        <x:v>459</x:v>
      </x:c>
    </x:row>
    <x:row r="11" ht="30">
      <x:c r="A11" s="5" t="s">
        <x:v>477</x:v>
      </x:c>
      <x:c r="B11" s="5">
        <x:v>3</x:v>
      </x:c>
      <x:c r="C11" s="5" t="s">
        <x:v>96</x:v>
      </x:c>
      <x:c r="D11" s="5" t="s">
        <x:v>133</x:v>
      </x:c>
      <x:c r="E11" s="5" t="s">
        <x:v>478</x:v>
      </x:c>
      <x:c r="F11" s="5">
        <x:v>14</x:v>
      </x:c>
      <x:c r="G11" s="5">
        <x:v>3</x:v>
      </x:c>
      <x:c r="H11" s="5" t="s">
        <x:v>479</x:v>
      </x:c>
      <x:c r="I11" s="5" t="s">
        <x:v>458</x:v>
      </x:c>
      <x:c r="J11" s="5" t="s">
        <x:v>459</x:v>
      </x:c>
    </x:row>
    <x:row r="12" ht="30">
      <x:c r="A12" s="5" t="s">
        <x:v>480</x:v>
      </x:c>
      <x:c r="B12" s="5">
        <x:v>3</x:v>
      </x:c>
      <x:c r="C12" s="5" t="s">
        <x:v>101</x:v>
      </x:c>
      <x:c r="D12" s="5" t="s">
        <x:v>133</x:v>
      </x:c>
      <x:c r="E12" s="5" t="s">
        <x:v>472</x:v>
      </x:c>
      <x:c r="F12" s="5">
        <x:v>26</x:v>
      </x:c>
      <x:c r="G12" s="5">
        <x:v>5</x:v>
      </x:c>
      <x:c r="H12" s="5" t="s">
        <x:v>481</x:v>
      </x:c>
      <x:c r="I12" s="5" t="s">
        <x:v>458</x:v>
      </x:c>
      <x:c r="J12" s="5" t="s">
        <x:v>459</x:v>
      </x:c>
    </x:row>
    <x:row r="13" ht="15">
      <x:c r="A13" s="5" t="s">
        <x:v>482</x:v>
      </x:c>
      <x:c r="B13" s="5">
        <x:v>4</x:v>
      </x:c>
      <x:c r="C13" s="5" t="s">
        <x:v>90</x:v>
      </x:c>
      <x:c r="D13" s="5" t="s">
        <x:v>129</x:v>
      </x:c>
      <x:c r="E13" s="5" t="s">
        <x:v>483</x:v>
      </x:c>
      <x:c r="F13" s="5">
        <x:v>22</x:v>
      </x:c>
      <x:c r="G13" s="5">
        <x:v>3</x:v>
      </x:c>
      <x:c r="H13" s="5" t="s">
        <x:v>484</x:v>
      </x:c>
      <x:c r="I13" s="5" t="s">
        <x:v>458</x:v>
      </x:c>
      <x:c r="J13" s="5" t="s">
        <x:v>459</x:v>
      </x:c>
    </x:row>
    <x:row r="14" ht="15">
      <x:c r="A14" s="5" t="s">
        <x:v>485</x:v>
      </x:c>
      <x:c r="B14" s="5">
        <x:v>4</x:v>
      </x:c>
      <x:c r="C14" s="5" t="s">
        <x:v>96</x:v>
      </x:c>
      <x:c r="D14" s="5" t="s">
        <x:v>145</x:v>
      </x:c>
      <x:c r="E14" s="5" t="s">
        <x:v>486</x:v>
      </x:c>
      <x:c r="F14" s="5">
        <x:v>10</x:v>
      </x:c>
      <x:c r="G14" s="5">
        <x:v>4</x:v>
      </x:c>
      <x:c r="H14" s="5" t="s">
        <x:v>487</x:v>
      </x:c>
      <x:c r="I14" s="5" t="s">
        <x:v>458</x:v>
      </x:c>
      <x:c r="J14" s="5" t="s">
        <x:v>459</x:v>
      </x:c>
    </x:row>
    <x:row r="15" ht="30">
      <x:c r="A15" s="5" t="s">
        <x:v>488</x:v>
      </x:c>
      <x:c r="B15" s="5">
        <x:v>4</x:v>
      </x:c>
      <x:c r="C15" s="5" t="s">
        <x:v>101</x:v>
      </x:c>
      <x:c r="D15" s="5" t="s">
        <x:v>142</x:v>
      </x:c>
      <x:c r="E15" s="5" t="s">
        <x:v>489</x:v>
      </x:c>
      <x:c r="F15" s="5">
        <x:v>25</x:v>
      </x:c>
      <x:c r="G15" s="5">
        <x:v>5</x:v>
      </x:c>
      <x:c r="H15" s="5" t="s">
        <x:v>490</x:v>
      </x:c>
      <x:c r="I15" s="5" t="s">
        <x:v>458</x:v>
      </x:c>
      <x:c r="J15" s="5" t="s">
        <x:v>459</x:v>
      </x:c>
    </x:row>
    <x:row r="16" ht="30">
      <x:c r="A16" s="5" t="s">
        <x:v>491</x:v>
      </x:c>
      <x:c r="B16" s="5">
        <x:v>5</x:v>
      </x:c>
      <x:c r="C16" s="5" t="s">
        <x:v>90</x:v>
      </x:c>
      <x:c r="D16" s="5" t="s">
        <x:v>142</x:v>
      </x:c>
      <x:c r="E16" s="5" t="s">
        <x:v>492</x:v>
      </x:c>
      <x:c r="F16" s="5">
        <x:v>29</x:v>
      </x:c>
      <x:c r="G16" s="5">
        <x:v>3</x:v>
      </x:c>
      <x:c r="H16" s="5" t="s">
        <x:v>493</x:v>
      </x:c>
      <x:c r="I16" s="5" t="s">
        <x:v>458</x:v>
      </x:c>
      <x:c r="J16" s="5" t="s">
        <x:v>459</x:v>
      </x:c>
    </x:row>
    <x:row r="17" ht="30">
      <x:c r="A17" s="5" t="s">
        <x:v>494</x:v>
      </x:c>
      <x:c r="B17" s="5">
        <x:v>5</x:v>
      </x:c>
      <x:c r="C17" s="5" t="s">
        <x:v>96</x:v>
      </x:c>
      <x:c r="D17" s="5" t="s">
        <x:v>122</x:v>
      </x:c>
      <x:c r="E17" s="5" t="s">
        <x:v>461</x:v>
      </x:c>
      <x:c r="F17" s="5">
        <x:v>24</x:v>
      </x:c>
      <x:c r="G17" s="5">
        <x:v>3</x:v>
      </x:c>
      <x:c r="H17" s="5" t="s">
        <x:v>495</x:v>
      </x:c>
      <x:c r="I17" s="5" t="s">
        <x:v>458</x:v>
      </x:c>
      <x:c r="J17" s="5" t="s">
        <x:v>459</x:v>
      </x:c>
    </x:row>
    <x:row r="18" ht="30">
      <x:c r="A18" s="5" t="s">
        <x:v>496</x:v>
      </x:c>
      <x:c r="B18" s="5">
        <x:v>5</x:v>
      </x:c>
      <x:c r="C18" s="5" t="s">
        <x:v>101</x:v>
      </x:c>
      <x:c r="D18" s="5" t="s">
        <x:v>153</x:v>
      </x:c>
      <x:c r="E18" s="5" t="s">
        <x:v>497</x:v>
      </x:c>
      <x:c r="F18" s="5">
        <x:v>18</x:v>
      </x:c>
      <x:c r="G18" s="5">
        <x:v>3</x:v>
      </x:c>
      <x:c r="H18" s="5" t="s">
        <x:v>498</x:v>
      </x:c>
      <x:c r="I18" s="5" t="s">
        <x:v>458</x:v>
      </x:c>
      <x:c r="J18" s="5" t="s">
        <x:v>459</x:v>
      </x:c>
    </x:row>
    <x:row r="19" ht="15">
      <x:c r="A19" s="5" t="s">
        <x:v>499</x:v>
      </x:c>
      <x:c r="B19" s="5">
        <x:v>6</x:v>
      </x:c>
      <x:c r="C19" s="5" t="s">
        <x:v>90</x:v>
      </x:c>
      <x:c r="D19" s="5" t="s">
        <x:v>129</x:v>
      </x:c>
      <x:c r="E19" s="5" t="s">
        <x:v>467</x:v>
      </x:c>
      <x:c r="F19" s="5">
        <x:v>13</x:v>
      </x:c>
      <x:c r="G19" s="5">
        <x:v>5</x:v>
      </x:c>
      <x:c r="H19" s="5" t="s">
        <x:v>500</x:v>
      </x:c>
      <x:c r="I19" s="5" t="s">
        <x:v>458</x:v>
      </x:c>
      <x:c r="J19" s="5" t="s">
        <x:v>459</x:v>
      </x:c>
    </x:row>
    <x:row r="20" ht="15">
      <x:c r="A20" s="5" t="s">
        <x:v>501</x:v>
      </x:c>
      <x:c r="B20" s="5">
        <x:v>6</x:v>
      </x:c>
      <x:c r="C20" s="5" t="s">
        <x:v>96</x:v>
      </x:c>
      <x:c r="D20" s="5" t="s">
        <x:v>148</x:v>
      </x:c>
      <x:c r="E20" s="5" t="s">
        <x:v>486</x:v>
      </x:c>
      <x:c r="F20" s="5">
        <x:v>30</x:v>
      </x:c>
      <x:c r="G20" s="5">
        <x:v>5</x:v>
      </x:c>
      <x:c r="H20" s="5" t="s">
        <x:v>502</x:v>
      </x:c>
      <x:c r="I20" s="5" t="s">
        <x:v>458</x:v>
      </x:c>
      <x:c r="J20" s="5" t="s">
        <x:v>459</x:v>
      </x:c>
    </x:row>
    <x:row r="21" ht="30">
      <x:c r="A21" s="5" t="s">
        <x:v>503</x:v>
      </x:c>
      <x:c r="B21" s="5">
        <x:v>6</x:v>
      </x:c>
      <x:c r="C21" s="5" t="s">
        <x:v>101</x:v>
      </x:c>
      <x:c r="D21" s="5" t="s">
        <x:v>122</x:v>
      </x:c>
      <x:c r="E21" s="5" t="s">
        <x:v>497</x:v>
      </x:c>
      <x:c r="F21" s="5">
        <x:v>26</x:v>
      </x:c>
      <x:c r="G21" s="5">
        <x:v>4</x:v>
      </x:c>
      <x:c r="H21" s="5" t="s">
        <x:v>504</x:v>
      </x:c>
      <x:c r="I21" s="5" t="s">
        <x:v>458</x:v>
      </x:c>
      <x:c r="J21" s="5" t="s">
        <x:v>459</x:v>
      </x:c>
    </x:row>
    <x:row r="22" ht="15">
      <x:c r="A22" s="5" t="s">
        <x:v>505</x:v>
      </x:c>
      <x:c r="B22" s="5">
        <x:v>7</x:v>
      </x:c>
      <x:c r="C22" s="5" t="s">
        <x:v>90</x:v>
      </x:c>
      <x:c r="D22" s="5" t="s">
        <x:v>148</x:v>
      </x:c>
      <x:c r="E22" s="5" t="s">
        <x:v>475</x:v>
      </x:c>
      <x:c r="F22" s="5">
        <x:v>21</x:v>
      </x:c>
      <x:c r="G22" s="5">
        <x:v>4</x:v>
      </x:c>
      <x:c r="H22" s="5" t="s">
        <x:v>506</x:v>
      </x:c>
      <x:c r="I22" s="5" t="s">
        <x:v>458</x:v>
      </x:c>
      <x:c r="J22" s="5" t="s">
        <x:v>459</x:v>
      </x:c>
    </x:row>
    <x:row r="23" ht="30">
      <x:c r="A23" s="5" t="s">
        <x:v>507</x:v>
      </x:c>
      <x:c r="B23" s="5">
        <x:v>7</x:v>
      </x:c>
      <x:c r="C23" s="5" t="s">
        <x:v>96</x:v>
      </x:c>
      <x:c r="D23" s="5" t="s">
        <x:v>137</x:v>
      </x:c>
      <x:c r="E23" s="5" t="s">
        <x:v>478</x:v>
      </x:c>
      <x:c r="F23" s="5">
        <x:v>12</x:v>
      </x:c>
      <x:c r="G23" s="5">
        <x:v>5</x:v>
      </x:c>
      <x:c r="H23" s="5" t="s">
        <x:v>508</x:v>
      </x:c>
      <x:c r="I23" s="5" t="s">
        <x:v>458</x:v>
      </x:c>
      <x:c r="J23" s="5" t="s">
        <x:v>459</x:v>
      </x:c>
    </x:row>
    <x:row r="24" ht="15">
      <x:c r="A24" s="5" t="s">
        <x:v>509</x:v>
      </x:c>
      <x:c r="B24" s="5">
        <x:v>7</x:v>
      </x:c>
      <x:c r="C24" s="5" t="s">
        <x:v>101</x:v>
      </x:c>
      <x:c r="D24" s="5" t="s">
        <x:v>129</x:v>
      </x:c>
      <x:c r="E24" s="5" t="s">
        <x:v>464</x:v>
      </x:c>
      <x:c r="F24" s="5">
        <x:v>22</x:v>
      </x:c>
      <x:c r="G24" s="5">
        <x:v>4</x:v>
      </x:c>
      <x:c r="H24" s="5" t="s">
        <x:v>510</x:v>
      </x:c>
      <x:c r="I24" s="5" t="s">
        <x:v>458</x:v>
      </x:c>
      <x:c r="J24" s="5" t="s">
        <x:v>459</x:v>
      </x:c>
    </x:row>
    <x:row r="25" ht="15">
      <x:c r="A25" s="5" t="s">
        <x:v>511</x:v>
      </x:c>
      <x:c r="B25" s="5">
        <x:v>8</x:v>
      </x:c>
      <x:c r="C25" s="5" t="s">
        <x:v>90</x:v>
      </x:c>
      <x:c r="D25" s="5" t="s">
        <x:v>145</x:v>
      </x:c>
      <x:c r="E25" s="5" t="s">
        <x:v>512</x:v>
      </x:c>
      <x:c r="F25" s="5">
        <x:v>15</x:v>
      </x:c>
      <x:c r="G25" s="5">
        <x:v>4</x:v>
      </x:c>
      <x:c r="H25" s="5" t="s">
        <x:v>513</x:v>
      </x:c>
      <x:c r="I25" s="5" t="s">
        <x:v>458</x:v>
      </x:c>
      <x:c r="J25" s="5" t="s">
        <x:v>459</x:v>
      </x:c>
    </x:row>
    <x:row r="26" ht="15">
      <x:c r="A26" s="5" t="s">
        <x:v>514</x:v>
      </x:c>
      <x:c r="B26" s="5">
        <x:v>8</x:v>
      </x:c>
      <x:c r="C26" s="5" t="s">
        <x:v>96</x:v>
      </x:c>
      <x:c r="D26" s="5" t="s">
        <x:v>145</x:v>
      </x:c>
      <x:c r="E26" s="5" t="s">
        <x:v>515</x:v>
      </x:c>
      <x:c r="F26" s="5">
        <x:v>24</x:v>
      </x:c>
      <x:c r="G26" s="5">
        <x:v>3</x:v>
      </x:c>
      <x:c r="H26" s="5" t="s">
        <x:v>516</x:v>
      </x:c>
      <x:c r="I26" s="5" t="s">
        <x:v>458</x:v>
      </x:c>
      <x:c r="J26" s="5" t="s">
        <x:v>459</x:v>
      </x:c>
    </x:row>
    <x:row r="27" ht="30">
      <x:c r="A27" s="5" t="s">
        <x:v>517</x:v>
      </x:c>
      <x:c r="B27" s="5">
        <x:v>8</x:v>
      </x:c>
      <x:c r="C27" s="5" t="s">
        <x:v>101</x:v>
      </x:c>
      <x:c r="D27" s="5" t="s">
        <x:v>122</x:v>
      </x:c>
      <x:c r="E27" s="5" t="s">
        <x:v>472</x:v>
      </x:c>
      <x:c r="F27" s="5">
        <x:v>30</x:v>
      </x:c>
      <x:c r="G27" s="5">
        <x:v>3</x:v>
      </x:c>
      <x:c r="H27" s="5" t="s">
        <x:v>518</x:v>
      </x:c>
      <x:c r="I27" s="5" t="s">
        <x:v>458</x:v>
      </x:c>
      <x:c r="J27" s="5" t="s">
        <x:v>459</x:v>
      </x:c>
    </x:row>
    <x:row r="28" ht="15">
      <x:c r="A28" s="5" t="s">
        <x:v>519</x:v>
      </x:c>
      <x:c r="B28" s="5">
        <x:v>9</x:v>
      </x:c>
      <x:c r="C28" s="5" t="s">
        <x:v>90</x:v>
      </x:c>
      <x:c r="D28" s="5" t="s">
        <x:v>122</x:v>
      </x:c>
      <x:c r="E28" s="5" t="s">
        <x:v>475</x:v>
      </x:c>
      <x:c r="F28" s="5">
        <x:v>22</x:v>
      </x:c>
      <x:c r="G28" s="5">
        <x:v>4</x:v>
      </x:c>
      <x:c r="H28" s="5" t="s">
        <x:v>520</x:v>
      </x:c>
      <x:c r="I28" s="5" t="s">
        <x:v>458</x:v>
      </x:c>
      <x:c r="J28" s="5" t="s">
        <x:v>459</x:v>
      </x:c>
    </x:row>
    <x:row r="29" ht="30">
      <x:c r="A29" s="5" t="s">
        <x:v>521</x:v>
      </x:c>
      <x:c r="B29" s="5">
        <x:v>9</x:v>
      </x:c>
      <x:c r="C29" s="5" t="s">
        <x:v>96</x:v>
      </x:c>
      <x:c r="D29" s="5" t="s">
        <x:v>148</x:v>
      </x:c>
      <x:c r="E29" s="5" t="s">
        <x:v>522</x:v>
      </x:c>
      <x:c r="F29" s="5">
        <x:v>28</x:v>
      </x:c>
      <x:c r="G29" s="5">
        <x:v>4</x:v>
      </x:c>
      <x:c r="H29" s="5" t="s">
        <x:v>523</x:v>
      </x:c>
      <x:c r="I29" s="5" t="s">
        <x:v>458</x:v>
      </x:c>
      <x:c r="J29" s="5" t="s">
        <x:v>459</x:v>
      </x:c>
    </x:row>
    <x:row r="30" ht="30">
      <x:c r="A30" s="5" t="s">
        <x:v>524</x:v>
      </x:c>
      <x:c r="B30" s="5">
        <x:v>9</x:v>
      </x:c>
      <x:c r="C30" s="5" t="s">
        <x:v>101</x:v>
      </x:c>
      <x:c r="D30" s="5" t="s">
        <x:v>142</x:v>
      </x:c>
      <x:c r="E30" s="5" t="s">
        <x:v>489</x:v>
      </x:c>
      <x:c r="F30" s="5">
        <x:v>28</x:v>
      </x:c>
      <x:c r="G30" s="5">
        <x:v>4</x:v>
      </x:c>
      <x:c r="H30" s="5" t="s">
        <x:v>525</x:v>
      </x:c>
      <x:c r="I30" s="5" t="s">
        <x:v>458</x:v>
      </x:c>
      <x:c r="J30" s="5" t="s">
        <x:v>459</x:v>
      </x:c>
    </x:row>
    <x:row r="31" ht="15">
      <x:c r="A31" s="5" t="s">
        <x:v>526</x:v>
      </x:c>
      <x:c r="B31" s="5">
        <x:v>10</x:v>
      </x:c>
      <x:c r="C31" s="5" t="s">
        <x:v>90</x:v>
      </x:c>
      <x:c r="D31" s="5" t="s">
        <x:v>122</x:v>
      </x:c>
      <x:c r="E31" s="5" t="s">
        <x:v>456</x:v>
      </x:c>
      <x:c r="F31" s="5">
        <x:v>15</x:v>
      </x:c>
      <x:c r="G31" s="5">
        <x:v>4</x:v>
      </x:c>
      <x:c r="H31" s="5" t="s">
        <x:v>527</x:v>
      </x:c>
      <x:c r="I31" s="5" t="s">
        <x:v>458</x:v>
      </x:c>
      <x:c r="J31" s="5" t="s">
        <x:v>459</x:v>
      </x:c>
    </x:row>
    <x:row r="32" ht="30">
      <x:c r="A32" s="5" t="s">
        <x:v>528</x:v>
      </x:c>
      <x:c r="B32" s="5">
        <x:v>10</x:v>
      </x:c>
      <x:c r="C32" s="5" t="s">
        <x:v>96</x:v>
      </x:c>
      <x:c r="D32" s="5" t="s">
        <x:v>145</x:v>
      </x:c>
      <x:c r="E32" s="5" t="s">
        <x:v>529</x:v>
      </x:c>
      <x:c r="F32" s="5">
        <x:v>10</x:v>
      </x:c>
      <x:c r="G32" s="5">
        <x:v>3</x:v>
      </x:c>
      <x:c r="H32" s="5" t="s">
        <x:v>530</x:v>
      </x:c>
      <x:c r="I32" s="5" t="s">
        <x:v>458</x:v>
      </x:c>
      <x:c r="J32" s="5" t="s">
        <x:v>459</x:v>
      </x:c>
    </x:row>
    <x:row r="33" ht="30">
      <x:c r="A33" s="5" t="s">
        <x:v>531</x:v>
      </x:c>
      <x:c r="B33" s="5">
        <x:v>10</x:v>
      </x:c>
      <x:c r="C33" s="5" t="s">
        <x:v>101</x:v>
      </x:c>
      <x:c r="D33" s="5" t="s">
        <x:v>122</x:v>
      </x:c>
      <x:c r="E33" s="5" t="s">
        <x:v>472</x:v>
      </x:c>
      <x:c r="F33" s="5">
        <x:v>20</x:v>
      </x:c>
      <x:c r="G33" s="5">
        <x:v>5</x:v>
      </x:c>
      <x:c r="H33" s="5" t="s">
        <x:v>532</x:v>
      </x:c>
      <x:c r="I33" s="5" t="s">
        <x:v>458</x:v>
      </x:c>
      <x:c r="J33" s="5" t="s">
        <x:v>459</x:v>
      </x:c>
    </x:row>
    <x:row r="34" ht="15">
      <x:c r="A34" s="5" t="s">
        <x:v>533</x:v>
      </x:c>
      <x:c r="B34" s="5">
        <x:v>11</x:v>
      </x:c>
      <x:c r="C34" s="5" t="s">
        <x:v>90</x:v>
      </x:c>
      <x:c r="D34" s="5" t="s">
        <x:v>153</x:v>
      </x:c>
      <x:c r="E34" s="5" t="s">
        <x:v>456</x:v>
      </x:c>
      <x:c r="F34" s="5">
        <x:v>16</x:v>
      </x:c>
      <x:c r="G34" s="5">
        <x:v>3</x:v>
      </x:c>
      <x:c r="H34" s="5" t="s">
        <x:v>534</x:v>
      </x:c>
      <x:c r="I34" s="5" t="s">
        <x:v>458</x:v>
      </x:c>
      <x:c r="J34" s="5" t="s">
        <x:v>459</x:v>
      </x:c>
    </x:row>
    <x:row r="35" ht="30">
      <x:c r="A35" s="5" t="s">
        <x:v>535</x:v>
      </x:c>
      <x:c r="B35" s="5">
        <x:v>11</x:v>
      </x:c>
      <x:c r="C35" s="5" t="s">
        <x:v>96</x:v>
      </x:c>
      <x:c r="D35" s="5" t="s">
        <x:v>137</x:v>
      </x:c>
      <x:c r="E35" s="5" t="s">
        <x:v>522</x:v>
      </x:c>
      <x:c r="F35" s="5">
        <x:v>17</x:v>
      </x:c>
      <x:c r="G35" s="5">
        <x:v>2</x:v>
      </x:c>
      <x:c r="H35" s="5" t="s">
        <x:v>536</x:v>
      </x:c>
      <x:c r="I35" s="5" t="s">
        <x:v>458</x:v>
      </x:c>
      <x:c r="J35" s="5" t="s">
        <x:v>459</x:v>
      </x:c>
    </x:row>
    <x:row r="36" ht="15">
      <x:c r="A36" s="5" t="s">
        <x:v>537</x:v>
      </x:c>
      <x:c r="B36" s="5">
        <x:v>11</x:v>
      </x:c>
      <x:c r="C36" s="5" t="s">
        <x:v>101</x:v>
      </x:c>
      <x:c r="D36" s="5" t="s">
        <x:v>133</x:v>
      </x:c>
      <x:c r="E36" s="5" t="s">
        <x:v>464</x:v>
      </x:c>
      <x:c r="F36" s="5">
        <x:v>18</x:v>
      </x:c>
      <x:c r="G36" s="5">
        <x:v>4</x:v>
      </x:c>
      <x:c r="H36" s="5" t="s">
        <x:v>538</x:v>
      </x:c>
      <x:c r="I36" s="5" t="s">
        <x:v>458</x:v>
      </x:c>
      <x:c r="J36" s="5" t="s">
        <x:v>459</x:v>
      </x:c>
    </x:row>
    <x:row r="37" ht="15">
      <x:c r="A37" s="5" t="s">
        <x:v>539</x:v>
      </x:c>
      <x:c r="B37" s="5">
        <x:v>12</x:v>
      </x:c>
      <x:c r="C37" s="5" t="s">
        <x:v>90</x:v>
      </x:c>
      <x:c r="D37" s="5" t="s">
        <x:v>133</x:v>
      </x:c>
      <x:c r="E37" s="5" t="s">
        <x:v>467</x:v>
      </x:c>
      <x:c r="F37" s="5">
        <x:v>14</x:v>
      </x:c>
      <x:c r="G37" s="5">
        <x:v>3</x:v>
      </x:c>
      <x:c r="H37" s="5" t="s">
        <x:v>540</x:v>
      </x:c>
      <x:c r="I37" s="5" t="s">
        <x:v>458</x:v>
      </x:c>
      <x:c r="J37" s="5" t="s">
        <x:v>459</x:v>
      </x:c>
    </x:row>
    <x:row r="38" ht="30">
      <x:c r="A38" s="5" t="s">
        <x:v>541</x:v>
      </x:c>
      <x:c r="B38" s="5">
        <x:v>12</x:v>
      </x:c>
      <x:c r="C38" s="5" t="s">
        <x:v>96</x:v>
      </x:c>
      <x:c r="D38" s="5" t="s">
        <x:v>145</x:v>
      </x:c>
      <x:c r="E38" s="5" t="s">
        <x:v>522</x:v>
      </x:c>
      <x:c r="F38" s="5">
        <x:v>20</x:v>
      </x:c>
      <x:c r="G38" s="5">
        <x:v>5</x:v>
      </x:c>
      <x:c r="H38" s="5" t="s">
        <x:v>542</x:v>
      </x:c>
      <x:c r="I38" s="5" t="s">
        <x:v>458</x:v>
      </x:c>
      <x:c r="J38" s="5" t="s">
        <x:v>459</x:v>
      </x:c>
    </x:row>
    <x:row r="39" ht="30">
      <x:c r="A39" s="5" t="s">
        <x:v>543</x:v>
      </x:c>
      <x:c r="B39" s="5">
        <x:v>12</x:v>
      </x:c>
      <x:c r="C39" s="5" t="s">
        <x:v>101</x:v>
      </x:c>
      <x:c r="D39" s="5" t="s">
        <x:v>133</x:v>
      </x:c>
      <x:c r="E39" s="5" t="s">
        <x:v>472</x:v>
      </x:c>
      <x:c r="F39" s="5">
        <x:v>25</x:v>
      </x:c>
      <x:c r="G39" s="5">
        <x:v>2</x:v>
      </x:c>
      <x:c r="H39" s="5" t="s">
        <x:v>544</x:v>
      </x:c>
      <x:c r="I39" s="5" t="s">
        <x:v>458</x:v>
      </x:c>
      <x:c r="J39" s="5" t="s">
        <x:v>459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76853bb021947b2"/>
  </x:tableParts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5" width="12" customWidth="1"/>
    <x:col min="6" max="6" width="16" customWidth="1"/>
    <x:col min="7" max="7" width="18" customWidth="1"/>
    <x:col min="8" max="8" width="12" customWidth="1"/>
    <x:col min="9" max="9" width="18" customWidth="1"/>
    <x:col min="10" max="10" width="14" customWidth="1"/>
    <x:col min="11" max="11" width="12" customWidth="1"/>
    <x:col min="12" max="12" width="16" customWidth="1"/>
    <x:col min="13" max="13" width="14" customWidth="1"/>
    <x:col min="14" max="14" width="24" customWidth="1"/>
    <x:col min="15" max="15" width="20" customWidth="1"/>
    <x:col min="16" max="16" width="16" customWidth="1"/>
    <x:col min="17" max="17" width="52" customWidth="1"/>
  </x:cols>
  <x:sheetData>
    <x:row r="1" ht="40" customHeight="1">
      <x:c r="A1" s="13" t="s">
        <x:v>545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3" ht="32">
      <x:c r="A3" s="1" t="s">
        <x:v>546</x:v>
      </x:c>
      <x:c r="B3" s="1" t="s">
        <x:v>302</x:v>
      </x:c>
      <x:c r="C3" s="1" t="s">
        <x:v>547</x:v>
      </x:c>
      <x:c r="D3" s="1" t="s">
        <x:v>548</x:v>
      </x:c>
      <x:c r="E3" s="1" t="s">
        <x:v>114</x:v>
      </x:c>
      <x:c r="F3" s="1" t="s">
        <x:v>549</x:v>
      </x:c>
      <x:c r="G3" s="1" t="s">
        <x:v>550</x:v>
      </x:c>
      <x:c r="H3" s="1" t="s">
        <x:v>551</x:v>
      </x:c>
      <x:c r="I3" s="1" t="s">
        <x:v>552</x:v>
      </x:c>
      <x:c r="J3" s="1" t="s">
        <x:v>162</x:v>
      </x:c>
      <x:c r="K3" s="1" t="s">
        <x:v>553</x:v>
      </x:c>
      <x:c r="L3" s="1" t="s">
        <x:v>554</x:v>
      </x:c>
      <x:c r="M3" s="1" t="s">
        <x:v>555</x:v>
      </x:c>
      <x:c r="N3" s="1" t="s">
        <x:v>556</x:v>
      </x:c>
      <x:c r="O3" s="1" t="s">
        <x:v>557</x:v>
      </x:c>
      <x:c r="P3" s="1" t="s">
        <x:v>558</x:v>
      </x:c>
      <x:c r="Q3" s="1" t="s">
        <x:v>559</x:v>
      </x:c>
    </x:row>
    <x:row r="4" ht="15">
      <x:c r="A4" s="5" t="s">
        <x:v>560</x:v>
      </x:c>
      <x:c r="B4" s="5">
        <x:v>1</x:v>
      </x:c>
      <x:c r="C4" s="5" t="s">
        <x:v>96</x:v>
      </x:c>
      <x:c r="D4" s="5" t="s">
        <x:v>90</x:v>
      </x:c>
      <x:c r="E4" s="5" t="s">
        <x:v>145</x:v>
      </x:c>
      <x:c r="F4" s="5">
        <x:v>3</x:v>
      </x:c>
      <x:c r="G4" s="5">
        <x:v>4</x:v>
      </x:c>
      <x:c r="H4" s="6">
        <x:v>0.46</x:v>
      </x:c>
      <x:c r="I4" s="6">
        <x:v>0.79</x:v>
      </x:c>
      <x:c r="J4" s="6">
        <x:v>0.68</x:v>
      </x:c>
      <x:c r="K4" s="6">
        <x:v>5</x:v>
      </x:c>
      <x:c r="L4" s="6">
        <x:v>0.19</x:v>
      </x:c>
      <x:c r="M4" s="6" t="n">
        <x:f t="shared" ref="M4:M27" si="0">MIN(0.95,H4*(0.6+0.4*I4)*(0.75+0.25*J4)*(1-0.08*(K4-1))*(1-0.12*L4))</x:f>
        <x:v>0.2575926717952</x:v>
      </x:c>
      <x:c r="N4" s="6" t="n">
        <x:f t="shared" ref="N4:N27" si="1">1-(1-M4)^G4</x:f>
        <x:v>0.6962131292088695</x:v>
      </x:c>
      <x:c r="O4" s="5" t="s">
        <x:v>561</x:v>
      </x:c>
      <x:c r="P4" s="5" t="s">
        <x:v>562</x:v>
      </x:c>
      <x:c r="Q4" s="5" t="s">
        <x:v>563</x:v>
      </x:c>
    </x:row>
    <x:row r="5" ht="15">
      <x:c r="A5" s="5" t="s">
        <x:v>564</x:v>
      </x:c>
      <x:c r="B5" s="5">
        <x:v>1</x:v>
      </x:c>
      <x:c r="C5" s="5" t="s">
        <x:v>96</x:v>
      </x:c>
      <x:c r="D5" s="5" t="s">
        <x:v>90</x:v>
      </x:c>
      <x:c r="E5" s="5" t="s">
        <x:v>142</x:v>
      </x:c>
      <x:c r="F5" s="5">
        <x:v>2</x:v>
      </x:c>
      <x:c r="G5" s="5">
        <x:v>1</x:v>
      </x:c>
      <x:c r="H5" s="6">
        <x:v>0.46</x:v>
      </x:c>
      <x:c r="I5" s="6">
        <x:v>0.94</x:v>
      </x:c>
      <x:c r="J5" s="6">
        <x:v>0.68</x:v>
      </x:c>
      <x:c r="K5" s="6">
        <x:v>4</x:v>
      </x:c>
      <x:c r="L5" s="6">
        <x:v>0.2</x:v>
      </x:c>
      <x:c r="M5" s="6">
        <x:f t="shared" si="0"/>
        <x:v>0.30637892403200001</x:v>
      </x:c>
      <x:c r="N5" s="6">
        <x:f t="shared" si="1"/>
        <x:v>0.30637892403200007</x:v>
      </x:c>
      <x:c r="O5" s="5" t="s">
        <x:v>565</x:v>
      </x:c>
      <x:c r="P5" s="5" t="s">
        <x:v>562</x:v>
      </x:c>
      <x:c r="Q5" s="5" t="s">
        <x:v>563</x:v>
      </x:c>
    </x:row>
    <x:row r="6" ht="15">
      <x:c r="A6" s="5" t="s">
        <x:v>566</x:v>
      </x:c>
      <x:c r="B6" s="5">
        <x:v>2</x:v>
      </x:c>
      <x:c r="C6" s="5" t="s">
        <x:v>90</x:v>
      </x:c>
      <x:c r="D6" s="5" t="s">
        <x:v>96</x:v>
      </x:c>
      <x:c r="E6" s="5" t="s">
        <x:v>145</x:v>
      </x:c>
      <x:c r="F6" s="5">
        <x:v>3</x:v>
      </x:c>
      <x:c r="G6" s="5">
        <x:v>1</x:v>
      </x:c>
      <x:c r="H6" s="6">
        <x:v>0.62</x:v>
      </x:c>
      <x:c r="I6" s="6">
        <x:v>0.69</x:v>
      </x:c>
      <x:c r="J6" s="6">
        <x:v>0.71</x:v>
      </x:c>
      <x:c r="K6" s="6">
        <x:v>5</x:v>
      </x:c>
      <x:c r="L6" s="6">
        <x:v>0.27</x:v>
      </x:c>
      <x:c r="M6" s="6">
        <x:f t="shared" si="0"/>
        <x:v>0.3314473005984</x:v>
      </x:c>
      <x:c r="N6" s="6">
        <x:f t="shared" si="1"/>
        <x:v>0.3314473005984</x:v>
      </x:c>
      <x:c r="O6" s="5" t="s">
        <x:v>565</x:v>
      </x:c>
      <x:c r="P6" s="5" t="s">
        <x:v>567</x:v>
      </x:c>
      <x:c r="Q6" s="5" t="s">
        <x:v>563</x:v>
      </x:c>
    </x:row>
    <x:row r="7" ht="15">
      <x:c r="A7" s="5" t="s">
        <x:v>568</x:v>
      </x:c>
      <x:c r="B7" s="5">
        <x:v>2</x:v>
      </x:c>
      <x:c r="C7" s="5" t="s">
        <x:v>96</x:v>
      </x:c>
      <x:c r="D7" s="5" t="s">
        <x:v>90</x:v>
      </x:c>
      <x:c r="E7" s="5" t="s">
        <x:v>122</x:v>
      </x:c>
      <x:c r="F7" s="5">
        <x:v>1</x:v>
      </x:c>
      <x:c r="G7" s="5">
        <x:v>2</x:v>
      </x:c>
      <x:c r="H7" s="6">
        <x:v>0.42</x:v>
      </x:c>
      <x:c r="I7" s="6">
        <x:v>0.88</x:v>
      </x:c>
      <x:c r="J7" s="6">
        <x:v>0.84</x:v>
      </x:c>
      <x:c r="K7" s="6">
        <x:v>5</x:v>
      </x:c>
      <x:c r="L7" s="6">
        <x:v>0.24</x:v>
      </x:c>
      <x:c r="M7" s="6">
        <x:f t="shared" si="0"/>
        <x:v>0.25349830410239999</x:v>
      </x:c>
      <x:c r="N7" s="6">
        <x:f t="shared" si="1"/>
        <x:v>0.44273521802200699</x:v>
      </x:c>
      <x:c r="O7" s="5" t="s">
        <x:v>561</x:v>
      </x:c>
      <x:c r="P7" s="5" t="s">
        <x:v>562</x:v>
      </x:c>
      <x:c r="Q7" s="5" t="s">
        <x:v>563</x:v>
      </x:c>
    </x:row>
    <x:row r="8" ht="15">
      <x:c r="A8" s="5" t="s">
        <x:v>569</x:v>
      </x:c>
      <x:c r="B8" s="5">
        <x:v>3</x:v>
      </x:c>
      <x:c r="C8" s="5" t="s">
        <x:v>96</x:v>
      </x:c>
      <x:c r="D8" s="5" t="s">
        <x:v>90</x:v>
      </x:c>
      <x:c r="E8" s="5" t="s">
        <x:v>129</x:v>
      </x:c>
      <x:c r="F8" s="5">
        <x:v>3</x:v>
      </x:c>
      <x:c r="G8" s="5">
        <x:v>1</x:v>
      </x:c>
      <x:c r="H8" s="6">
        <x:v>0.56999999999999995</x:v>
      </x:c>
      <x:c r="I8" s="6">
        <x:v>0.69</x:v>
      </x:c>
      <x:c r="J8" s="6">
        <x:v>0.66</x:v>
      </x:c>
      <x:c r="K8" s="6">
        <x:v>4</x:v>
      </x:c>
      <x:c r="L8" s="6">
        <x:v>0.16</x:v>
      </x:c>
      <x:c r="M8" s="6">
        <x:f t="shared" si="0"/>
        <x:v>0.34056036714239996</x:v>
      </x:c>
      <x:c r="N8" s="6">
        <x:f t="shared" si="1"/>
        <x:v>0.34056036714240001</x:v>
      </x:c>
      <x:c r="O8" s="5" t="s">
        <x:v>561</x:v>
      </x:c>
      <x:c r="P8" s="5" t="s">
        <x:v>562</x:v>
      </x:c>
      <x:c r="Q8" s="5" t="s">
        <x:v>563</x:v>
      </x:c>
    </x:row>
    <x:row r="9" ht="15">
      <x:c r="A9" s="5" t="s">
        <x:v>570</x:v>
      </x:c>
      <x:c r="B9" s="5">
        <x:v>3</x:v>
      </x:c>
      <x:c r="C9" s="5" t="s">
        <x:v>90</x:v>
      </x:c>
      <x:c r="D9" s="5" t="s">
        <x:v>96</x:v>
      </x:c>
      <x:c r="E9" s="5" t="s">
        <x:v>122</x:v>
      </x:c>
      <x:c r="F9" s="5">
        <x:v>3</x:v>
      </x:c>
      <x:c r="G9" s="5">
        <x:v>2</x:v>
      </x:c>
      <x:c r="H9" s="6">
        <x:v>0.35</x:v>
      </x:c>
      <x:c r="I9" s="6">
        <x:v>0.81</x:v>
      </x:c>
      <x:c r="J9" s="6">
        <x:v>0.82</x:v>
      </x:c>
      <x:c r="K9" s="6">
        <x:v>5</x:v>
      </x:c>
      <x:c r="L9" s="6">
        <x:v>0.1</x:v>
      </x:c>
      <x:c r="M9" s="6">
        <x:f t="shared" si="0"/>
        <x:v>0.20749576847999998</x:v>
      </x:c>
      <x:c r="N9" s="6">
        <x:f t="shared" si="1"/>
        <x:v>0.37193704302289421</x:v>
      </x:c>
      <x:c r="O9" s="5" t="s">
        <x:v>565</x:v>
      </x:c>
      <x:c r="P9" s="5" t="s">
        <x:v>562</x:v>
      </x:c>
      <x:c r="Q9" s="5" t="s">
        <x:v>563</x:v>
      </x:c>
    </x:row>
    <x:row r="10" ht="15">
      <x:c r="A10" s="5" t="s">
        <x:v>571</x:v>
      </x:c>
      <x:c r="B10" s="5">
        <x:v>4</x:v>
      </x:c>
      <x:c r="C10" s="5" t="s">
        <x:v>96</x:v>
      </x:c>
      <x:c r="D10" s="5" t="s">
        <x:v>90</x:v>
      </x:c>
      <x:c r="E10" s="5" t="s">
        <x:v>145</x:v>
      </x:c>
      <x:c r="F10" s="5">
        <x:v>4</x:v>
      </x:c>
      <x:c r="G10" s="5">
        <x:v>3</x:v>
      </x:c>
      <x:c r="H10" s="6">
        <x:v>0.5</x:v>
      </x:c>
      <x:c r="I10" s="6">
        <x:v>0.91</x:v>
      </x:c>
      <x:c r="J10" s="6">
        <x:v>0.88</x:v>
      </x:c>
      <x:c r="K10" s="6">
        <x:v>2</x:v>
      </x:c>
      <x:c r="L10" s="6">
        <x:v>0.08</x:v>
      </x:c>
      <x:c r="M10" s="6">
        <x:f t="shared" si="0"/>
        <x:v>0.42600748671999994</x:v>
      </x:c>
      <x:c r="N10" s="6">
        <x:f t="shared" si="1"/>
        <x:v>0.81088817598715668</x:v>
      </x:c>
      <x:c r="O10" s="5" t="s">
        <x:v>561</x:v>
      </x:c>
      <x:c r="P10" s="5" t="s">
        <x:v>572</x:v>
      </x:c>
      <x:c r="Q10" s="5" t="s">
        <x:v>563</x:v>
      </x:c>
    </x:row>
    <x:row r="11" ht="15">
      <x:c r="A11" s="5" t="s">
        <x:v>573</x:v>
      </x:c>
      <x:c r="B11" s="5">
        <x:v>4</x:v>
      </x:c>
      <x:c r="C11" s="5" t="s">
        <x:v>96</x:v>
      </x:c>
      <x:c r="D11" s="5" t="s">
        <x:v>90</x:v>
      </x:c>
      <x:c r="E11" s="5" t="s">
        <x:v>145</x:v>
      </x:c>
      <x:c r="F11" s="5">
        <x:v>2</x:v>
      </x:c>
      <x:c r="G11" s="5">
        <x:v>1</x:v>
      </x:c>
      <x:c r="H11" s="6">
        <x:v>0.54</x:v>
      </x:c>
      <x:c r="I11" s="6">
        <x:v>0.79</x:v>
      </x:c>
      <x:c r="J11" s="6">
        <x:v>0.71</x:v>
      </x:c>
      <x:c r="K11" s="6">
        <x:v>3</x:v>
      </x:c>
      <x:c r="L11" s="6">
        <x:v>0.32</x:v>
      </x:c>
      <x:c r="M11" s="6">
        <x:f t="shared" si="0"/>
        <x:v>0.37057566147840004</x:v>
      </x:c>
      <x:c r="N11" s="6">
        <x:f t="shared" si="1"/>
        <x:v>0.37057566147840004</x:v>
      </x:c>
      <x:c r="O11" s="5" t="s">
        <x:v>561</x:v>
      </x:c>
      <x:c r="P11" s="5" t="s">
        <x:v>574</x:v>
      </x:c>
      <x:c r="Q11" s="5" t="s">
        <x:v>563</x:v>
      </x:c>
    </x:row>
    <x:row r="12" ht="15">
      <x:c r="A12" s="5" t="s">
        <x:v>575</x:v>
      </x:c>
      <x:c r="B12" s="5">
        <x:v>5</x:v>
      </x:c>
      <x:c r="C12" s="5" t="s">
        <x:v>90</x:v>
      </x:c>
      <x:c r="D12" s="5" t="s">
        <x:v>96</x:v>
      </x:c>
      <x:c r="E12" s="5" t="s">
        <x:v>122</x:v>
      </x:c>
      <x:c r="F12" s="5">
        <x:v>1</x:v>
      </x:c>
      <x:c r="G12" s="5">
        <x:v>1</x:v>
      </x:c>
      <x:c r="H12" s="6">
        <x:v>0.47</x:v>
      </x:c>
      <x:c r="I12" s="6">
        <x:v>0.75</x:v>
      </x:c>
      <x:c r="J12" s="6">
        <x:v>0.73</x:v>
      </x:c>
      <x:c r="K12" s="6">
        <x:v>2</x:v>
      </x:c>
      <x:c r="L12" s="6">
        <x:v>0.2</x:v>
      </x:c>
      <x:c r="M12" s="6">
        <x:f t="shared" si="0"/>
        <x:v>0.35418229920000005</x:v>
      </x:c>
      <x:c r="N12" s="6">
        <x:f t="shared" si="1"/>
        <x:v>0.35418229920000011</x:v>
      </x:c>
      <x:c r="O12" s="5" t="s">
        <x:v>561</x:v>
      </x:c>
      <x:c r="P12" s="5" t="s">
        <x:v>562</x:v>
      </x:c>
      <x:c r="Q12" s="5" t="s">
        <x:v>563</x:v>
      </x:c>
    </x:row>
    <x:row r="13" ht="15">
      <x:c r="A13" s="5" t="s">
        <x:v>576</x:v>
      </x:c>
      <x:c r="B13" s="5">
        <x:v>5</x:v>
      </x:c>
      <x:c r="C13" s="5" t="s">
        <x:v>96</x:v>
      </x:c>
      <x:c r="D13" s="5" t="s">
        <x:v>90</x:v>
      </x:c>
      <x:c r="E13" s="5" t="s">
        <x:v>133</x:v>
      </x:c>
      <x:c r="F13" s="5">
        <x:v>3</x:v>
      </x:c>
      <x:c r="G13" s="5">
        <x:v>3</x:v>
      </x:c>
      <x:c r="H13" s="6">
        <x:v>0.59</x:v>
      </x:c>
      <x:c r="I13" s="6">
        <x:v>0.66</x:v>
      </x:c>
      <x:c r="J13" s="6">
        <x:v>0.8</x:v>
      </x:c>
      <x:c r="K13" s="6">
        <x:v>5</x:v>
      </x:c>
      <x:c r="L13" s="6">
        <x:v>0.28000000000000003</x:v>
      </x:c>
      <x:c r="M13" s="6">
        <x:f t="shared" si="0"/>
        <x:v>0.31824031334399999</x:v>
      </x:c>
      <x:c r="N13" s="6">
        <x:f t="shared" si="1"/>
        <x:v>0.6831206403677923</x:v>
      </x:c>
      <x:c r="O13" s="5" t="s">
        <x:v>565</x:v>
      </x:c>
      <x:c r="P13" s="5" t="s">
        <x:v>574</x:v>
      </x:c>
      <x:c r="Q13" s="5" t="s">
        <x:v>563</x:v>
      </x:c>
    </x:row>
    <x:row r="14" ht="15">
      <x:c r="A14" s="5" t="s">
        <x:v>577</x:v>
      </x:c>
      <x:c r="B14" s="5">
        <x:v>6</x:v>
      </x:c>
      <x:c r="C14" s="5" t="s">
        <x:v>96</x:v>
      </x:c>
      <x:c r="D14" s="5" t="s">
        <x:v>90</x:v>
      </x:c>
      <x:c r="E14" s="5" t="s">
        <x:v>145</x:v>
      </x:c>
      <x:c r="F14" s="5">
        <x:v>2</x:v>
      </x:c>
      <x:c r="G14" s="5">
        <x:v>2</x:v>
      </x:c>
      <x:c r="H14" s="6">
        <x:v>0.42</x:v>
      </x:c>
      <x:c r="I14" s="6">
        <x:v>0.92</x:v>
      </x:c>
      <x:c r="J14" s="6">
        <x:v>0.67</x:v>
      </x:c>
      <x:c r="K14" s="6">
        <x:v>5</x:v>
      </x:c>
      <x:c r="L14" s="6">
        <x:v>0.14000000000000001</x:v>
      </x:c>
      <x:c r="M14" s="6">
        <x:f t="shared" si="0"/>
        <x:v>0.24939141722879996</x:v>
      </x:c>
      <x:c r="N14" s="6">
        <x:f t="shared" si="1"/>
        <x:v>0.43658675547021053</x:v>
      </x:c>
      <x:c r="O14" s="5" t="s">
        <x:v>561</x:v>
      </x:c>
      <x:c r="P14" s="5" t="s">
        <x:v>572</x:v>
      </x:c>
      <x:c r="Q14" s="5" t="s">
        <x:v>563</x:v>
      </x:c>
    </x:row>
    <x:row r="15" ht="15">
      <x:c r="A15" s="5" t="s">
        <x:v>578</x:v>
      </x:c>
      <x:c r="B15" s="5">
        <x:v>6</x:v>
      </x:c>
      <x:c r="C15" s="5" t="s">
        <x:v>90</x:v>
      </x:c>
      <x:c r="D15" s="5" t="s">
        <x:v>96</x:v>
      </x:c>
      <x:c r="E15" s="5" t="s">
        <x:v>142</x:v>
      </x:c>
      <x:c r="F15" s="5">
        <x:v>2</x:v>
      </x:c>
      <x:c r="G15" s="5">
        <x:v>3</x:v>
      </x:c>
      <x:c r="H15" s="6">
        <x:v>0.5</x:v>
      </x:c>
      <x:c r="I15" s="6">
        <x:v>0.85</x:v>
      </x:c>
      <x:c r="J15" s="6">
        <x:v>0.9</x:v>
      </x:c>
      <x:c r="K15" s="6">
        <x:v>5</x:v>
      </x:c>
      <x:c r="L15" s="6">
        <x:v>0.22</x:v>
      </x:c>
      <x:c r="M15" s="6">
        <x:f t="shared" si="0"/>
        <x:v>0.30338349599999997</x:v>
      </x:c>
      <x:c r="N15" s="6">
        <x:f t="shared" si="1"/>
        <x:v>0.66194973695953274</x:v>
      </x:c>
      <x:c r="O15" s="5" t="s">
        <x:v>561</x:v>
      </x:c>
      <x:c r="P15" s="5" t="s">
        <x:v>572</x:v>
      </x:c>
      <x:c r="Q15" s="5" t="s">
        <x:v>563</x:v>
      </x:c>
    </x:row>
    <x:row r="16" ht="15">
      <x:c r="A16" s="5" t="s">
        <x:v>579</x:v>
      </x:c>
      <x:c r="B16" s="5">
        <x:v>7</x:v>
      </x:c>
      <x:c r="C16" s="5" t="s">
        <x:v>96</x:v>
      </x:c>
      <x:c r="D16" s="5" t="s">
        <x:v>90</x:v>
      </x:c>
      <x:c r="E16" s="5" t="s">
        <x:v>129</x:v>
      </x:c>
      <x:c r="F16" s="5">
        <x:v>1</x:v>
      </x:c>
      <x:c r="G16" s="5">
        <x:v>1</x:v>
      </x:c>
      <x:c r="H16" s="6">
        <x:v>0.57999999999999996</x:v>
      </x:c>
      <x:c r="I16" s="6">
        <x:v>0.77</x:v>
      </x:c>
      <x:c r="J16" s="6">
        <x:v>0.76</x:v>
      </x:c>
      <x:c r="K16" s="6">
        <x:v>3</x:v>
      </x:c>
      <x:c r="L16" s="6">
        <x:v>0.25</x:v>
      </x:c>
      <x:c r="M16" s="6">
        <x:f t="shared" si="0"/>
        <x:v>0.40335989567999997</x:v>
      </x:c>
      <x:c r="N16" s="6">
        <x:f t="shared" si="1"/>
        <x:v>0.40335989567999997</x:v>
      </x:c>
      <x:c r="O16" s="5" t="s">
        <x:v>565</x:v>
      </x:c>
      <x:c r="P16" s="5" t="s">
        <x:v>574</x:v>
      </x:c>
      <x:c r="Q16" s="5" t="s">
        <x:v>563</x:v>
      </x:c>
    </x:row>
    <x:row r="17" ht="15">
      <x:c r="A17" s="5" t="s">
        <x:v>580</x:v>
      </x:c>
      <x:c r="B17" s="5">
        <x:v>7</x:v>
      </x:c>
      <x:c r="C17" s="5" t="s">
        <x:v>96</x:v>
      </x:c>
      <x:c r="D17" s="5" t="s">
        <x:v>90</x:v>
      </x:c>
      <x:c r="E17" s="5" t="s">
        <x:v>129</x:v>
      </x:c>
      <x:c r="F17" s="5">
        <x:v>2</x:v>
      </x:c>
      <x:c r="G17" s="5">
        <x:v>2</x:v>
      </x:c>
      <x:c r="H17" s="6">
        <x:v>0.35</x:v>
      </x:c>
      <x:c r="I17" s="6">
        <x:v>0.67</x:v>
      </x:c>
      <x:c r="J17" s="6">
        <x:v>0.71</x:v>
      </x:c>
      <x:c r="K17" s="6">
        <x:v>3</x:v>
      </x:c>
      <x:c r="L17" s="6">
        <x:v>0.19</x:v>
      </x:c>
      <x:c r="M17" s="6">
        <x:f t="shared" si="0"/>
        <x:v>0.23129403477599997</x:v>
      </x:c>
      <x:c r="N17" s="6">
        <x:f t="shared" si="1"/>
        <x:v>0.40909113902903849</x:v>
      </x:c>
      <x:c r="O17" s="5" t="s">
        <x:v>561</x:v>
      </x:c>
      <x:c r="P17" s="5" t="s">
        <x:v>574</x:v>
      </x:c>
      <x:c r="Q17" s="5" t="s">
        <x:v>563</x:v>
      </x:c>
    </x:row>
    <x:row r="18" ht="15">
      <x:c r="A18" s="5" t="s">
        <x:v>581</x:v>
      </x:c>
      <x:c r="B18" s="5">
        <x:v>8</x:v>
      </x:c>
      <x:c r="C18" s="5" t="s">
        <x:v>90</x:v>
      </x:c>
      <x:c r="D18" s="5" t="s">
        <x:v>96</x:v>
      </x:c>
      <x:c r="E18" s="5" t="s">
        <x:v>142</x:v>
      </x:c>
      <x:c r="F18" s="5">
        <x:v>4</x:v>
      </x:c>
      <x:c r="G18" s="5">
        <x:v>2</x:v>
      </x:c>
      <x:c r="H18" s="6">
        <x:v>0.5</x:v>
      </x:c>
      <x:c r="I18" s="6">
        <x:v>0.69</x:v>
      </x:c>
      <x:c r="J18" s="6">
        <x:v>0.72</x:v>
      </x:c>
      <x:c r="K18" s="6">
        <x:v>5</x:v>
      </x:c>
      <x:c r="L18" s="6">
        <x:v>0.33</x:v>
      </x:c>
      <x:c r="M18" s="6">
        <x:f t="shared" si="0"/>
        <x:v>0.26602234847999995</x:v>
      </x:c>
      <x:c r="N18" s="6">
        <x:f t="shared" si="1"/>
        <x:v>0.46127680706918539</x:v>
      </x:c>
      <x:c r="O18" s="5" t="s">
        <x:v>565</x:v>
      </x:c>
      <x:c r="P18" s="5" t="s">
        <x:v>574</x:v>
      </x:c>
      <x:c r="Q18" s="5" t="s">
        <x:v>563</x:v>
      </x:c>
    </x:row>
    <x:row r="19" ht="15">
      <x:c r="A19" s="5" t="s">
        <x:v>582</x:v>
      </x:c>
      <x:c r="B19" s="5">
        <x:v>8</x:v>
      </x:c>
      <x:c r="C19" s="5" t="s">
        <x:v>96</x:v>
      </x:c>
      <x:c r="D19" s="5" t="s">
        <x:v>90</x:v>
      </x:c>
      <x:c r="E19" s="5" t="s">
        <x:v>122</x:v>
      </x:c>
      <x:c r="F19" s="5">
        <x:v>4</x:v>
      </x:c>
      <x:c r="G19" s="5">
        <x:v>3</x:v>
      </x:c>
      <x:c r="H19" s="6">
        <x:v>0.35</x:v>
      </x:c>
      <x:c r="I19" s="6">
        <x:v>0.78</x:v>
      </x:c>
      <x:c r="J19" s="6">
        <x:v>0.84</x:v>
      </x:c>
      <x:c r="K19" s="6">
        <x:v>3</x:v>
      </x:c>
      <x:c r="L19" s="6">
        <x:v>0.15</x:v>
      </x:c>
      <x:c r="M19" s="6">
        <x:f t="shared" si="0"/>
        <x:v>0.25276962815999998</x:v>
      </x:c>
      <x:c r="N19" s="6">
        <x:f t="shared" si="1"/>
        <x:v>0.58278150937504947</x:v>
      </x:c>
      <x:c r="O19" s="5" t="s">
        <x:v>561</x:v>
      </x:c>
      <x:c r="P19" s="5" t="s">
        <x:v>562</x:v>
      </x:c>
      <x:c r="Q19" s="5" t="s">
        <x:v>563</x:v>
      </x:c>
    </x:row>
    <x:row r="20" ht="15">
      <x:c r="A20" s="5" t="s">
        <x:v>583</x:v>
      </x:c>
      <x:c r="B20" s="5">
        <x:v>9</x:v>
      </x:c>
      <x:c r="C20" s="5" t="s">
        <x:v>96</x:v>
      </x:c>
      <x:c r="D20" s="5" t="s">
        <x:v>90</x:v>
      </x:c>
      <x:c r="E20" s="5" t="s">
        <x:v>145</x:v>
      </x:c>
      <x:c r="F20" s="5">
        <x:v>2</x:v>
      </x:c>
      <x:c r="G20" s="5">
        <x:v>4</x:v>
      </x:c>
      <x:c r="H20" s="6">
        <x:v>0.5</x:v>
      </x:c>
      <x:c r="I20" s="6">
        <x:v>0.87</x:v>
      </x:c>
      <x:c r="J20" s="6">
        <x:v>0.69</x:v>
      </x:c>
      <x:c r="K20" s="6">
        <x:v>2</x:v>
      </x:c>
      <x:c r="L20" s="6">
        <x:v>0.19</x:v>
      </x:c>
      <x:c r="M20" s="6">
        <x:f t="shared" si="0"/>
        <x:v>0.39311172935999994</x:v>
      </x:c>
      <x:c r="N20" s="6">
        <x:f t="shared" si="1"/>
        <x:v>0.86434525923959582</x:v>
      </x:c>
      <x:c r="O20" s="5" t="s">
        <x:v>561</x:v>
      </x:c>
      <x:c r="P20" s="5" t="s">
        <x:v>572</x:v>
      </x:c>
      <x:c r="Q20" s="5" t="s">
        <x:v>563</x:v>
      </x:c>
    </x:row>
    <x:row r="21" ht="15">
      <x:c r="A21" s="5" t="s">
        <x:v>584</x:v>
      </x:c>
      <x:c r="B21" s="5">
        <x:v>9</x:v>
      </x:c>
      <x:c r="C21" s="5" t="s">
        <x:v>90</x:v>
      </x:c>
      <x:c r="D21" s="5" t="s">
        <x:v>96</x:v>
      </x:c>
      <x:c r="E21" s="5" t="s">
        <x:v>129</x:v>
      </x:c>
      <x:c r="F21" s="5">
        <x:v>3</x:v>
      </x:c>
      <x:c r="G21" s="5">
        <x:v>2</x:v>
      </x:c>
      <x:c r="H21" s="6">
        <x:v>0.55000000000000004</x:v>
      </x:c>
      <x:c r="I21" s="6">
        <x:v>0.93</x:v>
      </x:c>
      <x:c r="J21" s="6">
        <x:v>0.78</x:v>
      </x:c>
      <x:c r="K21" s="6">
        <x:v>2</x:v>
      </x:c>
      <x:c r="L21" s="6">
        <x:v>0.06</x:v>
      </x:c>
      <x:c r="M21" s="6">
        <x:f t="shared" si="0"/>
        <x:v>0.46143481507200018</x:v>
      </x:c>
      <x:c r="N21" s="6">
        <x:f t="shared" si="1"/>
        <x:v>0.7099475415834694</x:v>
      </x:c>
      <x:c r="O21" s="5" t="s">
        <x:v>565</x:v>
      </x:c>
      <x:c r="P21" s="5" t="s">
        <x:v>567</x:v>
      </x:c>
      <x:c r="Q21" s="5" t="s">
        <x:v>563</x:v>
      </x:c>
    </x:row>
    <x:row r="22" ht="15">
      <x:c r="A22" s="5" t="s">
        <x:v>585</x:v>
      </x:c>
      <x:c r="B22" s="5">
        <x:v>10</x:v>
      </x:c>
      <x:c r="C22" s="5" t="s">
        <x:v>96</x:v>
      </x:c>
      <x:c r="D22" s="5" t="s">
        <x:v>90</x:v>
      </x:c>
      <x:c r="E22" s="5" t="s">
        <x:v>145</x:v>
      </x:c>
      <x:c r="F22" s="5">
        <x:v>2</x:v>
      </x:c>
      <x:c r="G22" s="5">
        <x:v>4</x:v>
      </x:c>
      <x:c r="H22" s="6">
        <x:v>0.47</x:v>
      </x:c>
      <x:c r="I22" s="6">
        <x:v>0.87</x:v>
      </x:c>
      <x:c r="J22" s="6">
        <x:v>0.79</x:v>
      </x:c>
      <x:c r="K22" s="6">
        <x:v>2</x:v>
      </x:c>
      <x:c r="L22" s="6">
        <x:v>7.0000000000000007E-2</x:v>
      </x:c>
      <x:c r="M22" s="6">
        <x:f t="shared" si="0"/>
        <x:v>0.38513213692319997</x:v>
      </x:c>
      <x:c r="N22" s="6">
        <x:f t="shared" si="1"/>
        <x:v>0.85706875437737862</x:v>
      </x:c>
      <x:c r="O22" s="5" t="s">
        <x:v>565</x:v>
      </x:c>
      <x:c r="P22" s="5" t="s">
        <x:v>562</x:v>
      </x:c>
      <x:c r="Q22" s="5" t="s">
        <x:v>563</x:v>
      </x:c>
    </x:row>
    <x:row r="23" ht="15">
      <x:c r="A23" s="5" t="s">
        <x:v>586</x:v>
      </x:c>
      <x:c r="B23" s="5">
        <x:v>10</x:v>
      </x:c>
      <x:c r="C23" s="5" t="s">
        <x:v>96</x:v>
      </x:c>
      <x:c r="D23" s="5" t="s">
        <x:v>90</x:v>
      </x:c>
      <x:c r="E23" s="5" t="s">
        <x:v>142</x:v>
      </x:c>
      <x:c r="F23" s="5">
        <x:v>1</x:v>
      </x:c>
      <x:c r="G23" s="5">
        <x:v>1</x:v>
      </x:c>
      <x:c r="H23" s="6">
        <x:v>0.49</x:v>
      </x:c>
      <x:c r="I23" s="6">
        <x:v>0.7</x:v>
      </x:c>
      <x:c r="J23" s="6">
        <x:v>0.79</x:v>
      </x:c>
      <x:c r="K23" s="6">
        <x:v>2</x:v>
      </x:c>
      <x:c r="L23" s="6">
        <x:v>0.09</x:v>
      </x:c>
      <x:c r="M23" s="6">
        <x:f t="shared" si="0"/>
        <x:v>0.37181756796799992</x:v>
      </x:c>
      <x:c r="N23" s="6">
        <x:f t="shared" si="1"/>
        <x:v>0.37181756796799992</x:v>
      </x:c>
      <x:c r="O23" s="5" t="s">
        <x:v>565</x:v>
      </x:c>
      <x:c r="P23" s="5" t="s">
        <x:v>567</x:v>
      </x:c>
      <x:c r="Q23" s="5" t="s">
        <x:v>563</x:v>
      </x:c>
    </x:row>
    <x:row r="24" ht="15">
      <x:c r="A24" s="5" t="s">
        <x:v>587</x:v>
      </x:c>
      <x:c r="B24" s="5">
        <x:v>11</x:v>
      </x:c>
      <x:c r="C24" s="5" t="s">
        <x:v>90</x:v>
      </x:c>
      <x:c r="D24" s="5" t="s">
        <x:v>96</x:v>
      </x:c>
      <x:c r="E24" s="5" t="s">
        <x:v>145</x:v>
      </x:c>
      <x:c r="F24" s="5">
        <x:v>2</x:v>
      </x:c>
      <x:c r="G24" s="5">
        <x:v>2</x:v>
      </x:c>
      <x:c r="H24" s="6">
        <x:v>0.41</x:v>
      </x:c>
      <x:c r="I24" s="6">
        <x:v>0.66</x:v>
      </x:c>
      <x:c r="J24" s="6">
        <x:v>0.74</x:v>
      </x:c>
      <x:c r="K24" s="6">
        <x:v>4</x:v>
      </x:c>
      <x:c r="L24" s="6">
        <x:v>0.2</x:v>
      </x:c>
      <x:c r="M24" s="6">
        <x:f t="shared" si="0"/>
        <x:v>0.245681593344</x:v>
      </x:c>
      <x:c r="N24" s="6">
        <x:f t="shared" si="1"/>
        <x:v>0.43100374137995334</x:v>
      </x:c>
      <x:c r="O24" s="5" t="s">
        <x:v>561</x:v>
      </x:c>
      <x:c r="P24" s="5" t="s">
        <x:v>572</x:v>
      </x:c>
      <x:c r="Q24" s="5" t="s">
        <x:v>563</x:v>
      </x:c>
    </x:row>
    <x:row r="25" ht="15">
      <x:c r="A25" s="5" t="s">
        <x:v>588</x:v>
      </x:c>
      <x:c r="B25" s="5">
        <x:v>11</x:v>
      </x:c>
      <x:c r="C25" s="5" t="s">
        <x:v>96</x:v>
      </x:c>
      <x:c r="D25" s="5" t="s">
        <x:v>90</x:v>
      </x:c>
      <x:c r="E25" s="5" t="s">
        <x:v>142</x:v>
      </x:c>
      <x:c r="F25" s="5">
        <x:v>1</x:v>
      </x:c>
      <x:c r="G25" s="5">
        <x:v>3</x:v>
      </x:c>
      <x:c r="H25" s="6">
        <x:v>0.46</x:v>
      </x:c>
      <x:c r="I25" s="6">
        <x:v>0.72</x:v>
      </x:c>
      <x:c r="J25" s="6">
        <x:v>0.69</x:v>
      </x:c>
      <x:c r="K25" s="6">
        <x:v>4</x:v>
      </x:c>
      <x:c r="L25" s="6">
        <x:v>0.33</x:v>
      </x:c>
      <x:c r="M25" s="6">
        <x:f t="shared" si="0"/>
        <x:v>0.2750444690112</x:v>
      </x:c>
      <x:c r="N25" s="6">
        <x:f t="shared" si="1"/>
        <x:v>0.61899199277107675</x:v>
      </x:c>
      <x:c r="O25" s="5" t="s">
        <x:v>565</x:v>
      </x:c>
      <x:c r="P25" s="5" t="s">
        <x:v>562</x:v>
      </x:c>
      <x:c r="Q25" s="5" t="s">
        <x:v>563</x:v>
      </x:c>
    </x:row>
    <x:row r="26" ht="15">
      <x:c r="A26" s="5" t="s">
        <x:v>589</x:v>
      </x:c>
      <x:c r="B26" s="5">
        <x:v>12</x:v>
      </x:c>
      <x:c r="C26" s="5" t="s">
        <x:v>96</x:v>
      </x:c>
      <x:c r="D26" s="5" t="s">
        <x:v>90</x:v>
      </x:c>
      <x:c r="E26" s="5" t="s">
        <x:v>145</x:v>
      </x:c>
      <x:c r="F26" s="5">
        <x:v>1</x:v>
      </x:c>
      <x:c r="G26" s="5">
        <x:v>4</x:v>
      </x:c>
      <x:c r="H26" s="6">
        <x:v>0.5</x:v>
      </x:c>
      <x:c r="I26" s="6">
        <x:v>0.79</x:v>
      </x:c>
      <x:c r="J26" s="6">
        <x:v>0.9</x:v>
      </x:c>
      <x:c r="K26" s="6">
        <x:v>5</x:v>
      </x:c>
      <x:c r="L26" s="6">
        <x:v>0.11</x:v>
      </x:c>
      <x:c r="M26" s="6">
        <x:f t="shared" si="0"/>
        <x:v>0.29964576719999997</x:v>
      </x:c>
      <x:c r="N26" s="6">
        <x:f t="shared" si="1"/>
        <x:v>0.75941362356014852</x:v>
      </x:c>
      <x:c r="O26" s="5" t="s">
        <x:v>565</x:v>
      </x:c>
      <x:c r="P26" s="5" t="s">
        <x:v>567</x:v>
      </x:c>
      <x:c r="Q26" s="5" t="s">
        <x:v>563</x:v>
      </x:c>
    </x:row>
    <x:row r="27" ht="15">
      <x:c r="A27" s="5" t="s">
        <x:v>590</x:v>
      </x:c>
      <x:c r="B27" s="5">
        <x:v>12</x:v>
      </x:c>
      <x:c r="C27" s="5" t="s">
        <x:v>90</x:v>
      </x:c>
      <x:c r="D27" s="5" t="s">
        <x:v>96</x:v>
      </x:c>
      <x:c r="E27" s="5" t="s">
        <x:v>142</x:v>
      </x:c>
      <x:c r="F27" s="5">
        <x:v>2</x:v>
      </x:c>
      <x:c r="G27" s="5">
        <x:v>4</x:v>
      </x:c>
      <x:c r="H27" s="6">
        <x:v>0.54</x:v>
      </x:c>
      <x:c r="I27" s="6">
        <x:v>0.94</x:v>
      </x:c>
      <x:c r="J27" s="6">
        <x:v>0.68</x:v>
      </x:c>
      <x:c r="K27" s="6">
        <x:v>4</x:v>
      </x:c>
      <x:c r="L27" s="6">
        <x:v>0.2</x:v>
      </x:c>
      <x:c r="M27" s="6">
        <x:f t="shared" si="0"/>
        <x:v>0.35966221516800001</x:v>
      </x:c>
      <x:c r="N27" s="6">
        <x:f t="shared" si="1"/>
        <x:v>0.83187336642462184</x:v>
      </x:c>
      <x:c r="O27" s="5" t="s">
        <x:v>561</x:v>
      </x:c>
      <x:c r="P27" s="5" t="s">
        <x:v>574</x:v>
      </x:c>
      <x:c r="Q27" s="5" t="s">
        <x:v>563</x:v>
      </x:c>
    </x:row>
  </x:sheetData>
  <x:mergeCells>
    <x:mergeCell ref="A1:Q1"/>
  </x:mergeCells>
  <x:conditionalFormatting sqref="M4:N27">
    <x:cfRule type="dataBar" priority="1">
      <x:dataBar>
        <x:cfvo type="min"/>
        <x:cfvo type="max"/>
        <x:color rgb="FFE97132"/>
      </x:dataBar>
    </x:cfRule>
    <x:cfRule type="dataBar" priority="2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{4674307C-A80D-040D-CF3A-ABBF83E01AF2}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aa7a8063b45419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674307C-A80D-040D-CF3A-ABBF83E01AF2}">
            <x14:dataBar>
              <x14:cfvo type="min"/>
              <x14:cfvo type="max"/>
              <x14:fillColor rgb="FFE97132"/>
              <x14:negativeFillColor auto="1"/>
              <x14:axisColor auto="1"/>
            </x14:dataBar>
          </x14:cfRule>
          <xm:sqref>M4:N27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0" customWidth="1"/>
    <x:col min="3" max="3" width="14" customWidth="1"/>
    <x:col min="4" max="4" width="12" customWidth="1"/>
    <x:col min="5" max="5" width="20" customWidth="1"/>
    <x:col min="6" max="6" width="18" customWidth="1"/>
    <x:col min="7" max="7" width="16" customWidth="1"/>
    <x:col min="8" max="8" width="14" customWidth="1"/>
    <x:col min="9" max="9" width="18" customWidth="1"/>
    <x:col min="10" max="10" width="20" customWidth="1"/>
    <x:col min="11" max="11" width="18" customWidth="1"/>
    <x:col min="12" max="12" width="16" customWidth="1"/>
    <x:col min="13" max="13" width="38" customWidth="1"/>
  </x:cols>
  <x:sheetData>
    <x:row r="1" ht="40" customHeight="1">
      <x:c r="A1" s="13" t="s">
        <x:v>591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16">
      <x:c r="A3" s="1" t="s">
        <x:v>592</x:v>
      </x:c>
      <x:c r="B3" s="1" t="s">
        <x:v>302</x:v>
      </x:c>
      <x:c r="C3" s="1" t="s">
        <x:v>159</x:v>
      </x:c>
      <x:c r="D3" s="1" t="s">
        <x:v>84</x:v>
      </x:c>
      <x:c r="E3" s="1" t="s">
        <x:v>593</x:v>
      </x:c>
      <x:c r="F3" s="1" t="s">
        <x:v>594</x:v>
      </x:c>
      <x:c r="G3" s="1" t="s">
        <x:v>595</x:v>
      </x:c>
      <x:c r="H3" s="1" t="s">
        <x:v>596</x:v>
      </x:c>
      <x:c r="I3" s="1" t="s">
        <x:v>597</x:v>
      </x:c>
      <x:c r="J3" s="1" t="s">
        <x:v>598</x:v>
      </x:c>
      <x:c r="K3" s="1" t="s">
        <x:v>599</x:v>
      </x:c>
      <x:c r="L3" s="1" t="s">
        <x:v>600</x:v>
      </x:c>
      <x:c r="M3" s="1" t="s">
        <x:v>238</x:v>
      </x:c>
    </x:row>
    <x:row r="4" ht="15">
      <x:c r="A4" s="5" t="s">
        <x:v>601</x:v>
      </x:c>
      <x:c r="B4" s="5">
        <x:v>1</x:v>
      </x:c>
      <x:c r="C4" s="5" t="s">
        <x:v>200</x:v>
      </x:c>
      <x:c r="D4" s="5" t="s">
        <x:v>96</x:v>
      </x:c>
      <x:c r="E4" s="5" t="s">
        <x:v>602</x:v>
      </x:c>
      <x:c r="F4" s="5">
        <x:v>60</x:v>
      </x:c>
      <x:c r="G4" s="5">
        <x:v>8</x:v>
      </x:c>
      <x:c r="H4" s="5">
        <x:v>2</x:v>
      </x:c>
      <x:c r="I4" s="5">
        <x:v>54</x:v>
      </x:c>
      <x:c r="J4" s="5">
        <x:v>-2</x:v>
      </x:c>
      <x:c r="K4" s="5">
        <x:v>-10</x:v>
      </x:c>
      <x:c r="L4" s="5" t="s">
        <x:v>572</x:v>
      </x:c>
      <x:c r="M4" s="5" t="s">
        <x:v>603</x:v>
      </x:c>
    </x:row>
    <x:row r="5" ht="15">
      <x:c r="A5" s="5" t="s">
        <x:v>604</x:v>
      </x:c>
      <x:c r="B5" s="5">
        <x:v>1</x:v>
      </x:c>
      <x:c r="C5" s="5" t="s">
        <x:v>169</x:v>
      </x:c>
      <x:c r="D5" s="5" t="s">
        <x:v>90</x:v>
      </x:c>
      <x:c r="E5" s="5" t="s">
        <x:v>605</x:v>
      </x:c>
      <x:c r="F5" s="5">
        <x:v>67</x:v>
      </x:c>
      <x:c r="G5" s="5">
        <x:v>5</x:v>
      </x:c>
      <x:c r="H5" s="5">
        <x:v>0</x:v>
      </x:c>
      <x:c r="I5" s="5">
        <x:v>62</x:v>
      </x:c>
      <x:c r="J5" s="5">
        <x:v>-2</x:v>
      </x:c>
      <x:c r="K5" s="5">
        <x:v>-2</x:v>
      </x:c>
      <x:c r="L5" s="5" t="s">
        <x:v>572</x:v>
      </x:c>
      <x:c r="M5" s="5" t="s">
        <x:v>603</x:v>
      </x:c>
    </x:row>
    <x:row r="6" ht="15">
      <x:c r="A6" s="5" t="s">
        <x:v>606</x:v>
      </x:c>
      <x:c r="B6" s="5">
        <x:v>1</x:v>
      </x:c>
      <x:c r="C6" s="5" t="s">
        <x:v>211</x:v>
      </x:c>
      <x:c r="D6" s="5" t="s">
        <x:v>101</x:v>
      </x:c>
      <x:c r="E6" s="5" t="s">
        <x:v>602</x:v>
      </x:c>
      <x:c r="F6" s="5">
        <x:v>65</x:v>
      </x:c>
      <x:c r="G6" s="5">
        <x:v>12</x:v>
      </x:c>
      <x:c r="H6" s="5">
        <x:v>0</x:v>
      </x:c>
      <x:c r="I6" s="5">
        <x:v>53</x:v>
      </x:c>
      <x:c r="J6" s="5">
        <x:v>0</x:v>
      </x:c>
      <x:c r="K6" s="5">
        <x:v>-10</x:v>
      </x:c>
      <x:c r="L6" s="5" t="s">
        <x:v>574</x:v>
      </x:c>
      <x:c r="M6" s="5" t="s">
        <x:v>603</x:v>
      </x:c>
    </x:row>
    <x:row r="7" ht="15">
      <x:c r="A7" s="5" t="s">
        <x:v>607</x:v>
      </x:c>
      <x:c r="B7" s="5">
        <x:v>2</x:v>
      </x:c>
      <x:c r="C7" s="5" t="s">
        <x:v>208</x:v>
      </x:c>
      <x:c r="D7" s="5" t="s">
        <x:v>101</x:v>
      </x:c>
      <x:c r="E7" s="5" t="s">
        <x:v>608</x:v>
      </x:c>
      <x:c r="F7" s="5">
        <x:v>58</x:v>
      </x:c>
      <x:c r="G7" s="5">
        <x:v>4</x:v>
      </x:c>
      <x:c r="H7" s="5">
        <x:v>7</x:v>
      </x:c>
      <x:c r="I7" s="5">
        <x:v>61</x:v>
      </x:c>
      <x:c r="J7" s="5">
        <x:v>-2</x:v>
      </x:c>
      <x:c r="K7" s="5">
        <x:v>-12</x:v>
      </x:c>
      <x:c r="L7" s="5" t="s">
        <x:v>572</x:v>
      </x:c>
      <x:c r="M7" s="5" t="s">
        <x:v>603</x:v>
      </x:c>
    </x:row>
    <x:row r="8" ht="15">
      <x:c r="A8" s="5" t="s">
        <x:v>609</x:v>
      </x:c>
      <x:c r="B8" s="5">
        <x:v>2</x:v>
      </x:c>
      <x:c r="C8" s="5" t="s">
        <x:v>213</x:v>
      </x:c>
      <x:c r="D8" s="5" t="s">
        <x:v>101</x:v>
      </x:c>
      <x:c r="E8" s="5" t="s">
        <x:v>610</x:v>
      </x:c>
      <x:c r="F8" s="5">
        <x:v>75</x:v>
      </x:c>
      <x:c r="G8" s="5">
        <x:v>5</x:v>
      </x:c>
      <x:c r="H8" s="5">
        <x:v>7</x:v>
      </x:c>
      <x:c r="I8" s="5">
        <x:v>77</x:v>
      </x:c>
      <x:c r="J8" s="5">
        <x:v>-6</x:v>
      </x:c>
      <x:c r="K8" s="5">
        <x:v>-10</x:v>
      </x:c>
      <x:c r="L8" s="5" t="s">
        <x:v>572</x:v>
      </x:c>
      <x:c r="M8" s="5" t="s">
        <x:v>603</x:v>
      </x:c>
    </x:row>
    <x:row r="9" ht="15">
      <x:c r="A9" s="5" t="s">
        <x:v>611</x:v>
      </x:c>
      <x:c r="B9" s="5">
        <x:v>2</x:v>
      </x:c>
      <x:c r="C9" s="5" t="s">
        <x:v>205</x:v>
      </x:c>
      <x:c r="D9" s="5" t="s">
        <x:v>96</x:v>
      </x:c>
      <x:c r="E9" s="5" t="s">
        <x:v>602</x:v>
      </x:c>
      <x:c r="F9" s="5">
        <x:v>59</x:v>
      </x:c>
      <x:c r="G9" s="5">
        <x:v>12</x:v>
      </x:c>
      <x:c r="H9" s="5">
        <x:v>5</x:v>
      </x:c>
      <x:c r="I9" s="5">
        <x:v>52</x:v>
      </x:c>
      <x:c r="J9" s="5">
        <x:v>-8</x:v>
      </x:c>
      <x:c r="K9" s="5">
        <x:v>-10</x:v>
      </x:c>
      <x:c r="L9" s="5" t="s">
        <x:v>572</x:v>
      </x:c>
      <x:c r="M9" s="5" t="s">
        <x:v>603</x:v>
      </x:c>
    </x:row>
    <x:row r="10" ht="15">
      <x:c r="A10" s="5" t="s">
        <x:v>612</x:v>
      </x:c>
      <x:c r="B10" s="5">
        <x:v>3</x:v>
      </x:c>
      <x:c r="C10" s="5" t="s">
        <x:v>202</x:v>
      </x:c>
      <x:c r="D10" s="5" t="s">
        <x:v>96</x:v>
      </x:c>
      <x:c r="E10" s="5" t="s">
        <x:v>613</x:v>
      </x:c>
      <x:c r="F10" s="5">
        <x:v>61</x:v>
      </x:c>
      <x:c r="G10" s="5">
        <x:v>1</x:v>
      </x:c>
      <x:c r="H10" s="5">
        <x:v>3</x:v>
      </x:c>
      <x:c r="I10" s="5">
        <x:v>63</x:v>
      </x:c>
      <x:c r="J10" s="5">
        <x:v>-12</x:v>
      </x:c>
      <x:c r="K10" s="5">
        <x:v>-3</x:v>
      </x:c>
      <x:c r="L10" s="5" t="s">
        <x:v>562</x:v>
      </x:c>
      <x:c r="M10" s="5" t="s">
        <x:v>603</x:v>
      </x:c>
    </x:row>
    <x:row r="11" ht="15">
      <x:c r="A11" s="5" t="s">
        <x:v>614</x:v>
      </x:c>
      <x:c r="B11" s="5">
        <x:v>3</x:v>
      </x:c>
      <x:c r="C11" s="5" t="s">
        <x:v>194</x:v>
      </x:c>
      <x:c r="D11" s="5" t="s">
        <x:v>96</x:v>
      </x:c>
      <x:c r="E11" s="5" t="s">
        <x:v>608</x:v>
      </x:c>
      <x:c r="F11" s="5">
        <x:v>71</x:v>
      </x:c>
      <x:c r="G11" s="5">
        <x:v>4</x:v>
      </x:c>
      <x:c r="H11" s="5">
        <x:v>6</x:v>
      </x:c>
      <x:c r="I11" s="5">
        <x:v>73</x:v>
      </x:c>
      <x:c r="J11" s="5">
        <x:v>-3</x:v>
      </x:c>
      <x:c r="K11" s="5">
        <x:v>-8</x:v>
      </x:c>
      <x:c r="L11" s="5" t="s">
        <x:v>574</x:v>
      </x:c>
      <x:c r="M11" s="5" t="s">
        <x:v>603</x:v>
      </x:c>
    </x:row>
    <x:row r="12" ht="15">
      <x:c r="A12" s="5" t="s">
        <x:v>615</x:v>
      </x:c>
      <x:c r="B12" s="5">
        <x:v>3</x:v>
      </x:c>
      <x:c r="C12" s="5" t="s">
        <x:v>192</x:v>
      </x:c>
      <x:c r="D12" s="5" t="s">
        <x:v>96</x:v>
      </x:c>
      <x:c r="E12" s="5" t="s">
        <x:v>608</x:v>
      </x:c>
      <x:c r="F12" s="5">
        <x:v>65</x:v>
      </x:c>
      <x:c r="G12" s="5">
        <x:v>10</x:v>
      </x:c>
      <x:c r="H12" s="5">
        <x:v>4</x:v>
      </x:c>
      <x:c r="I12" s="5">
        <x:v>59</x:v>
      </x:c>
      <x:c r="J12" s="5">
        <x:v>-1</x:v>
      </x:c>
      <x:c r="K12" s="5">
        <x:v>-7</x:v>
      </x:c>
      <x:c r="L12" s="5" t="s">
        <x:v>574</x:v>
      </x:c>
      <x:c r="M12" s="5" t="s">
        <x:v>603</x:v>
      </x:c>
    </x:row>
    <x:row r="13" ht="15">
      <x:c r="A13" s="5" t="s">
        <x:v>616</x:v>
      </x:c>
      <x:c r="B13" s="5">
        <x:v>4</x:v>
      </x:c>
      <x:c r="C13" s="5" t="s">
        <x:v>215</x:v>
      </x:c>
      <x:c r="D13" s="5" t="s">
        <x:v>101</x:v>
      </x:c>
      <x:c r="E13" s="5" t="s">
        <x:v>605</x:v>
      </x:c>
      <x:c r="F13" s="5">
        <x:v>59</x:v>
      </x:c>
      <x:c r="G13" s="5">
        <x:v>6</x:v>
      </x:c>
      <x:c r="H13" s="5">
        <x:v>6</x:v>
      </x:c>
      <x:c r="I13" s="5">
        <x:v>59</x:v>
      </x:c>
      <x:c r="J13" s="5">
        <x:v>0</x:v>
      </x:c>
      <x:c r="K13" s="5">
        <x:v>-7</x:v>
      </x:c>
      <x:c r="L13" s="5" t="s">
        <x:v>572</x:v>
      </x:c>
      <x:c r="M13" s="5" t="s">
        <x:v>603</x:v>
      </x:c>
    </x:row>
    <x:row r="14" ht="15">
      <x:c r="A14" s="5" t="s">
        <x:v>617</x:v>
      </x:c>
      <x:c r="B14" s="5">
        <x:v>4</x:v>
      </x:c>
      <x:c r="C14" s="5" t="s">
        <x:v>198</x:v>
      </x:c>
      <x:c r="D14" s="5" t="s">
        <x:v>96</x:v>
      </x:c>
      <x:c r="E14" s="5" t="s">
        <x:v>618</x:v>
      </x:c>
      <x:c r="F14" s="5">
        <x:v>68</x:v>
      </x:c>
      <x:c r="G14" s="5">
        <x:v>8</x:v>
      </x:c>
      <x:c r="H14" s="5">
        <x:v>6</x:v>
      </x:c>
      <x:c r="I14" s="5">
        <x:v>66</x:v>
      </x:c>
      <x:c r="J14" s="5">
        <x:v>-14</x:v>
      </x:c>
      <x:c r="K14" s="5">
        <x:v>-8</x:v>
      </x:c>
      <x:c r="L14" s="5" t="s">
        <x:v>574</x:v>
      </x:c>
      <x:c r="M14" s="5" t="s">
        <x:v>603</x:v>
      </x:c>
    </x:row>
    <x:row r="15" ht="15">
      <x:c r="A15" s="5" t="s">
        <x:v>619</x:v>
      </x:c>
      <x:c r="B15" s="5">
        <x:v>4</x:v>
      </x:c>
      <x:c r="C15" s="5" t="s">
        <x:v>194</x:v>
      </x:c>
      <x:c r="D15" s="5" t="s">
        <x:v>96</x:v>
      </x:c>
      <x:c r="E15" s="5" t="s">
        <x:v>608</x:v>
      </x:c>
      <x:c r="F15" s="5">
        <x:v>69</x:v>
      </x:c>
      <x:c r="G15" s="5">
        <x:v>7</x:v>
      </x:c>
      <x:c r="H15" s="5">
        <x:v>3</x:v>
      </x:c>
      <x:c r="I15" s="5">
        <x:v>65</x:v>
      </x:c>
      <x:c r="J15" s="5">
        <x:v>-5</x:v>
      </x:c>
      <x:c r="K15" s="5">
        <x:v>-5</x:v>
      </x:c>
      <x:c r="L15" s="5" t="s">
        <x:v>574</x:v>
      </x:c>
      <x:c r="M15" s="5" t="s">
        <x:v>603</x:v>
      </x:c>
    </x:row>
    <x:row r="16" ht="15">
      <x:c r="A16" s="5" t="s">
        <x:v>620</x:v>
      </x:c>
      <x:c r="B16" s="5">
        <x:v>5</x:v>
      </x:c>
      <x:c r="C16" s="5" t="s">
        <x:v>196</x:v>
      </x:c>
      <x:c r="D16" s="5" t="s">
        <x:v>96</x:v>
      </x:c>
      <x:c r="E16" s="5" t="s">
        <x:v>602</x:v>
      </x:c>
      <x:c r="F16" s="5">
        <x:v>87</x:v>
      </x:c>
      <x:c r="G16" s="5">
        <x:v>11</x:v>
      </x:c>
      <x:c r="H16" s="5">
        <x:v>4</x:v>
      </x:c>
      <x:c r="I16" s="5">
        <x:v>80</x:v>
      </x:c>
      <x:c r="J16" s="5">
        <x:v>-8</x:v>
      </x:c>
      <x:c r="K16" s="5">
        <x:v>-10</x:v>
      </x:c>
      <x:c r="L16" s="5" t="s">
        <x:v>562</x:v>
      </x:c>
      <x:c r="M16" s="5" t="s">
        <x:v>603</x:v>
      </x:c>
    </x:row>
    <x:row r="17" ht="15">
      <x:c r="A17" s="5" t="s">
        <x:v>621</x:v>
      </x:c>
      <x:c r="B17" s="5">
        <x:v>5</x:v>
      </x:c>
      <x:c r="C17" s="5" t="s">
        <x:v>176</x:v>
      </x:c>
      <x:c r="D17" s="5" t="s">
        <x:v>90</x:v>
      </x:c>
      <x:c r="E17" s="5" t="s">
        <x:v>610</x:v>
      </x:c>
      <x:c r="F17" s="5">
        <x:v>60</x:v>
      </x:c>
      <x:c r="G17" s="5">
        <x:v>2</x:v>
      </x:c>
      <x:c r="H17" s="5">
        <x:v>2</x:v>
      </x:c>
      <x:c r="I17" s="5">
        <x:v>60</x:v>
      </x:c>
      <x:c r="J17" s="5">
        <x:v>-13</x:v>
      </x:c>
      <x:c r="K17" s="5">
        <x:v>-6</x:v>
      </x:c>
      <x:c r="L17" s="5" t="s">
        <x:v>572</x:v>
      </x:c>
      <x:c r="M17" s="5" t="s">
        <x:v>603</x:v>
      </x:c>
    </x:row>
    <x:row r="18" ht="15">
      <x:c r="A18" s="5" t="s">
        <x:v>622</x:v>
      </x:c>
      <x:c r="B18" s="5">
        <x:v>5</x:v>
      </x:c>
      <x:c r="C18" s="5" t="s">
        <x:v>202</x:v>
      </x:c>
      <x:c r="D18" s="5" t="s">
        <x:v>96</x:v>
      </x:c>
      <x:c r="E18" s="5" t="s">
        <x:v>608</x:v>
      </x:c>
      <x:c r="F18" s="5">
        <x:v>89</x:v>
      </x:c>
      <x:c r="G18" s="5">
        <x:v>9</x:v>
      </x:c>
      <x:c r="H18" s="5">
        <x:v>1</x:v>
      </x:c>
      <x:c r="I18" s="5">
        <x:v>81</x:v>
      </x:c>
      <x:c r="J18" s="5">
        <x:v>-3</x:v>
      </x:c>
      <x:c r="K18" s="5">
        <x:v>-11</x:v>
      </x:c>
      <x:c r="L18" s="5" t="s">
        <x:v>562</x:v>
      </x:c>
      <x:c r="M18" s="5" t="s">
        <x:v>603</x:v>
      </x:c>
    </x:row>
    <x:row r="19" ht="15">
      <x:c r="A19" s="5" t="s">
        <x:v>623</x:v>
      </x:c>
      <x:c r="B19" s="5">
        <x:v>6</x:v>
      </x:c>
      <x:c r="C19" s="5" t="s">
        <x:v>205</x:v>
      </x:c>
      <x:c r="D19" s="5" t="s">
        <x:v>96</x:v>
      </x:c>
      <x:c r="E19" s="5" t="s">
        <x:v>608</x:v>
      </x:c>
      <x:c r="F19" s="5">
        <x:v>74</x:v>
      </x:c>
      <x:c r="G19" s="5">
        <x:v>5</x:v>
      </x:c>
      <x:c r="H19" s="5">
        <x:v>1</x:v>
      </x:c>
      <x:c r="I19" s="5">
        <x:v>70</x:v>
      </x:c>
      <x:c r="J19" s="5">
        <x:v>-12</x:v>
      </x:c>
      <x:c r="K19" s="5">
        <x:v>-10</x:v>
      </x:c>
      <x:c r="L19" s="5" t="s">
        <x:v>572</x:v>
      </x:c>
      <x:c r="M19" s="5" t="s">
        <x:v>603</x:v>
      </x:c>
    </x:row>
    <x:row r="20" ht="15">
      <x:c r="A20" s="5" t="s">
        <x:v>624</x:v>
      </x:c>
      <x:c r="B20" s="5">
        <x:v>6</x:v>
      </x:c>
      <x:c r="C20" s="5" t="s">
        <x:v>196</x:v>
      </x:c>
      <x:c r="D20" s="5" t="s">
        <x:v>96</x:v>
      </x:c>
      <x:c r="E20" s="5" t="s">
        <x:v>613</x:v>
      </x:c>
      <x:c r="F20" s="5">
        <x:v>64</x:v>
      </x:c>
      <x:c r="G20" s="5">
        <x:v>8</x:v>
      </x:c>
      <x:c r="H20" s="5">
        <x:v>3</x:v>
      </x:c>
      <x:c r="I20" s="5">
        <x:v>59</x:v>
      </x:c>
      <x:c r="J20" s="5">
        <x:v>-1</x:v>
      </x:c>
      <x:c r="K20" s="5">
        <x:v>-12</x:v>
      </x:c>
      <x:c r="L20" s="5" t="s">
        <x:v>574</x:v>
      </x:c>
      <x:c r="M20" s="5" t="s">
        <x:v>603</x:v>
      </x:c>
    </x:row>
    <x:row r="21" ht="15">
      <x:c r="A21" s="5" t="s">
        <x:v>625</x:v>
      </x:c>
      <x:c r="B21" s="5">
        <x:v>6</x:v>
      </x:c>
      <x:c r="C21" s="5" t="s">
        <x:v>196</x:v>
      </x:c>
      <x:c r="D21" s="5" t="s">
        <x:v>96</x:v>
      </x:c>
      <x:c r="E21" s="5" t="s">
        <x:v>618</x:v>
      </x:c>
      <x:c r="F21" s="5">
        <x:v>89</x:v>
      </x:c>
      <x:c r="G21" s="5">
        <x:v>6</x:v>
      </x:c>
      <x:c r="H21" s="5">
        <x:v>0</x:v>
      </x:c>
      <x:c r="I21" s="5">
        <x:v>83</x:v>
      </x:c>
      <x:c r="J21" s="5">
        <x:v>-8</x:v>
      </x:c>
      <x:c r="K21" s="5">
        <x:v>-12</x:v>
      </x:c>
      <x:c r="L21" s="5" t="s">
        <x:v>572</x:v>
      </x:c>
      <x:c r="M21" s="5" t="s">
        <x:v>603</x:v>
      </x:c>
    </x:row>
    <x:row r="22" ht="15">
      <x:c r="A22" s="5" t="s">
        <x:v>626</x:v>
      </x:c>
      <x:c r="B22" s="5">
        <x:v>7</x:v>
      </x:c>
      <x:c r="C22" s="5" t="s">
        <x:v>176</x:v>
      </x:c>
      <x:c r="D22" s="5" t="s">
        <x:v>90</x:v>
      </x:c>
      <x:c r="E22" s="5" t="s">
        <x:v>618</x:v>
      </x:c>
      <x:c r="F22" s="5">
        <x:v>79</x:v>
      </x:c>
      <x:c r="G22" s="5">
        <x:v>5</x:v>
      </x:c>
      <x:c r="H22" s="5">
        <x:v>2</x:v>
      </x:c>
      <x:c r="I22" s="5">
        <x:v>76</x:v>
      </x:c>
      <x:c r="J22" s="5">
        <x:v>-3</x:v>
      </x:c>
      <x:c r="K22" s="5">
        <x:v>-5</x:v>
      </x:c>
      <x:c r="L22" s="5" t="s">
        <x:v>572</x:v>
      </x:c>
      <x:c r="M22" s="5" t="s">
        <x:v>603</x:v>
      </x:c>
    </x:row>
    <x:row r="23" ht="15">
      <x:c r="A23" s="5" t="s">
        <x:v>627</x:v>
      </x:c>
      <x:c r="B23" s="5">
        <x:v>7</x:v>
      </x:c>
      <x:c r="C23" s="5" t="s">
        <x:v>218</x:v>
      </x:c>
      <x:c r="D23" s="5" t="s">
        <x:v>107</x:v>
      </x:c>
      <x:c r="E23" s="5" t="s">
        <x:v>608</x:v>
      </x:c>
      <x:c r="F23" s="5">
        <x:v>72</x:v>
      </x:c>
      <x:c r="G23" s="5">
        <x:v>8</x:v>
      </x:c>
      <x:c r="H23" s="5">
        <x:v>3</x:v>
      </x:c>
      <x:c r="I23" s="5">
        <x:v>67</x:v>
      </x:c>
      <x:c r="J23" s="5">
        <x:v>-3</x:v>
      </x:c>
      <x:c r="K23" s="5">
        <x:v>-2</x:v>
      </x:c>
      <x:c r="L23" s="5" t="s">
        <x:v>572</x:v>
      </x:c>
      <x:c r="M23" s="5" t="s">
        <x:v>603</x:v>
      </x:c>
    </x:row>
    <x:row r="24" ht="15">
      <x:c r="A24" s="5" t="s">
        <x:v>628</x:v>
      </x:c>
      <x:c r="B24" s="5">
        <x:v>7</x:v>
      </x:c>
      <x:c r="C24" s="5" t="s">
        <x:v>218</x:v>
      </x:c>
      <x:c r="D24" s="5" t="s">
        <x:v>107</x:v>
      </x:c>
      <x:c r="E24" s="5" t="s">
        <x:v>610</x:v>
      </x:c>
      <x:c r="F24" s="5">
        <x:v>70</x:v>
      </x:c>
      <x:c r="G24" s="5">
        <x:v>7</x:v>
      </x:c>
      <x:c r="H24" s="5">
        <x:v>1</x:v>
      </x:c>
      <x:c r="I24" s="5">
        <x:v>64</x:v>
      </x:c>
      <x:c r="J24" s="5">
        <x:v>0</x:v>
      </x:c>
      <x:c r="K24" s="5">
        <x:v>-2</x:v>
      </x:c>
      <x:c r="L24" s="5" t="s">
        <x:v>562</x:v>
      </x:c>
      <x:c r="M24" s="5" t="s">
        <x:v>603</x:v>
      </x:c>
    </x:row>
    <x:row r="25" ht="15">
      <x:c r="A25" s="5" t="s">
        <x:v>629</x:v>
      </x:c>
      <x:c r="B25" s="5">
        <x:v>8</x:v>
      </x:c>
      <x:c r="C25" s="5" t="s">
        <x:v>196</x:v>
      </x:c>
      <x:c r="D25" s="5" t="s">
        <x:v>96</x:v>
      </x:c>
      <x:c r="E25" s="5" t="s">
        <x:v>613</x:v>
      </x:c>
      <x:c r="F25" s="5">
        <x:v>69</x:v>
      </x:c>
      <x:c r="G25" s="5">
        <x:v>10</x:v>
      </x:c>
      <x:c r="H25" s="5">
        <x:v>6</x:v>
      </x:c>
      <x:c r="I25" s="5">
        <x:v>65</x:v>
      </x:c>
      <x:c r="J25" s="5">
        <x:v>-11</x:v>
      </x:c>
      <x:c r="K25" s="5">
        <x:v>-6</x:v>
      </x:c>
      <x:c r="L25" s="5" t="s">
        <x:v>562</x:v>
      </x:c>
      <x:c r="M25" s="5" t="s">
        <x:v>603</x:v>
      </x:c>
    </x:row>
    <x:row r="26" ht="15">
      <x:c r="A26" s="5" t="s">
        <x:v>630</x:v>
      </x:c>
      <x:c r="B26" s="5">
        <x:v>8</x:v>
      </x:c>
      <x:c r="C26" s="5" t="s">
        <x:v>192</x:v>
      </x:c>
      <x:c r="D26" s="5" t="s">
        <x:v>96</x:v>
      </x:c>
      <x:c r="E26" s="5" t="s">
        <x:v>602</x:v>
      </x:c>
      <x:c r="F26" s="5">
        <x:v>89</x:v>
      </x:c>
      <x:c r="G26" s="5">
        <x:v>7</x:v>
      </x:c>
      <x:c r="H26" s="5">
        <x:v>0</x:v>
      </x:c>
      <x:c r="I26" s="5">
        <x:v>82</x:v>
      </x:c>
      <x:c r="J26" s="5">
        <x:v>-3</x:v>
      </x:c>
      <x:c r="K26" s="5">
        <x:v>-9</x:v>
      </x:c>
      <x:c r="L26" s="5" t="s">
        <x:v>572</x:v>
      </x:c>
      <x:c r="M26" s="5" t="s">
        <x:v>603</x:v>
      </x:c>
    </x:row>
    <x:row r="27" ht="15">
      <x:c r="A27" s="5" t="s">
        <x:v>631</x:v>
      </x:c>
      <x:c r="B27" s="5">
        <x:v>8</x:v>
      </x:c>
      <x:c r="C27" s="5" t="s">
        <x:v>173</x:v>
      </x:c>
      <x:c r="D27" s="5" t="s">
        <x:v>90</x:v>
      </x:c>
      <x:c r="E27" s="5" t="s">
        <x:v>608</x:v>
      </x:c>
      <x:c r="F27" s="5">
        <x:v>58</x:v>
      </x:c>
      <x:c r="G27" s="5">
        <x:v>9</x:v>
      </x:c>
      <x:c r="H27" s="5">
        <x:v>6</x:v>
      </x:c>
      <x:c r="I27" s="5">
        <x:v>55</x:v>
      </x:c>
      <x:c r="J27" s="5">
        <x:v>-4</x:v>
      </x:c>
      <x:c r="K27" s="5">
        <x:v>-10</x:v>
      </x:c>
      <x:c r="L27" s="5" t="s">
        <x:v>562</x:v>
      </x:c>
      <x:c r="M27" s="5" t="s">
        <x:v>603</x:v>
      </x:c>
    </x:row>
    <x:row r="28" ht="15">
      <x:c r="A28" s="5" t="s">
        <x:v>632</x:v>
      </x:c>
      <x:c r="B28" s="5">
        <x:v>9</x:v>
      </x:c>
      <x:c r="C28" s="5" t="s">
        <x:v>205</x:v>
      </x:c>
      <x:c r="D28" s="5" t="s">
        <x:v>96</x:v>
      </x:c>
      <x:c r="E28" s="5" t="s">
        <x:v>610</x:v>
      </x:c>
      <x:c r="F28" s="5">
        <x:v>58</x:v>
      </x:c>
      <x:c r="G28" s="5">
        <x:v>7</x:v>
      </x:c>
      <x:c r="H28" s="5">
        <x:v>7</x:v>
      </x:c>
      <x:c r="I28" s="5">
        <x:v>58</x:v>
      </x:c>
      <x:c r="J28" s="5">
        <x:v>-2</x:v>
      </x:c>
      <x:c r="K28" s="5">
        <x:v>-10</x:v>
      </x:c>
      <x:c r="L28" s="5" t="s">
        <x:v>562</x:v>
      </x:c>
      <x:c r="M28" s="5" t="s">
        <x:v>603</x:v>
      </x:c>
    </x:row>
    <x:row r="29" ht="15">
      <x:c r="A29" s="5" t="s">
        <x:v>633</x:v>
      </x:c>
      <x:c r="B29" s="5">
        <x:v>9</x:v>
      </x:c>
      <x:c r="C29" s="5" t="s">
        <x:v>200</x:v>
      </x:c>
      <x:c r="D29" s="5" t="s">
        <x:v>96</x:v>
      </x:c>
      <x:c r="E29" s="5" t="s">
        <x:v>613</x:v>
      </x:c>
      <x:c r="F29" s="5">
        <x:v>65</x:v>
      </x:c>
      <x:c r="G29" s="5">
        <x:v>11</x:v>
      </x:c>
      <x:c r="H29" s="5">
        <x:v>1</x:v>
      </x:c>
      <x:c r="I29" s="5">
        <x:v>55</x:v>
      </x:c>
      <x:c r="J29" s="5">
        <x:v>-9</x:v>
      </x:c>
      <x:c r="K29" s="5">
        <x:v>-5</x:v>
      </x:c>
      <x:c r="L29" s="5" t="s">
        <x:v>562</x:v>
      </x:c>
      <x:c r="M29" s="5" t="s">
        <x:v>603</x:v>
      </x:c>
    </x:row>
    <x:row r="30" ht="15">
      <x:c r="A30" s="5" t="s">
        <x:v>634</x:v>
      </x:c>
      <x:c r="B30" s="5">
        <x:v>9</x:v>
      </x:c>
      <x:c r="C30" s="5" t="s">
        <x:v>176</x:v>
      </x:c>
      <x:c r="D30" s="5" t="s">
        <x:v>90</x:v>
      </x:c>
      <x:c r="E30" s="5" t="s">
        <x:v>618</x:v>
      </x:c>
      <x:c r="F30" s="5">
        <x:v>78</x:v>
      </x:c>
      <x:c r="G30" s="5">
        <x:v>12</x:v>
      </x:c>
      <x:c r="H30" s="5">
        <x:v>5</x:v>
      </x:c>
      <x:c r="I30" s="5">
        <x:v>71</x:v>
      </x:c>
      <x:c r="J30" s="5">
        <x:v>-3</x:v>
      </x:c>
      <x:c r="K30" s="5">
        <x:v>-9</x:v>
      </x:c>
      <x:c r="L30" s="5" t="s">
        <x:v>574</x:v>
      </x:c>
      <x:c r="M30" s="5" t="s">
        <x:v>603</x:v>
      </x:c>
    </x:row>
    <x:row r="31" ht="15">
      <x:c r="A31" s="5" t="s">
        <x:v>635</x:v>
      </x:c>
      <x:c r="B31" s="5">
        <x:v>10</x:v>
      </x:c>
      <x:c r="C31" s="5" t="s">
        <x:v>208</x:v>
      </x:c>
      <x:c r="D31" s="5" t="s">
        <x:v>101</x:v>
      </x:c>
      <x:c r="E31" s="5" t="s">
        <x:v>602</x:v>
      </x:c>
      <x:c r="F31" s="5">
        <x:v>83</x:v>
      </x:c>
      <x:c r="G31" s="5">
        <x:v>4</x:v>
      </x:c>
      <x:c r="H31" s="5">
        <x:v>4</x:v>
      </x:c>
      <x:c r="I31" s="5">
        <x:v>83</x:v>
      </x:c>
      <x:c r="J31" s="5">
        <x:v>-1</x:v>
      </x:c>
      <x:c r="K31" s="5">
        <x:v>-10</x:v>
      </x:c>
      <x:c r="L31" s="5" t="s">
        <x:v>574</x:v>
      </x:c>
      <x:c r="M31" s="5" t="s">
        <x:v>603</x:v>
      </x:c>
    </x:row>
    <x:row r="32" ht="15">
      <x:c r="A32" s="5" t="s">
        <x:v>636</x:v>
      </x:c>
      <x:c r="B32" s="5">
        <x:v>10</x:v>
      </x:c>
      <x:c r="C32" s="5" t="s">
        <x:v>196</x:v>
      </x:c>
      <x:c r="D32" s="5" t="s">
        <x:v>96</x:v>
      </x:c>
      <x:c r="E32" s="5" t="s">
        <x:v>605</x:v>
      </x:c>
      <x:c r="F32" s="5">
        <x:v>59</x:v>
      </x:c>
      <x:c r="G32" s="5">
        <x:v>7</x:v>
      </x:c>
      <x:c r="H32" s="5">
        <x:v>5</x:v>
      </x:c>
      <x:c r="I32" s="5">
        <x:v>57</x:v>
      </x:c>
      <x:c r="J32" s="5">
        <x:v>-11</x:v>
      </x:c>
      <x:c r="K32" s="5">
        <x:v>-2</x:v>
      </x:c>
      <x:c r="L32" s="5" t="s">
        <x:v>562</x:v>
      </x:c>
      <x:c r="M32" s="5" t="s">
        <x:v>603</x:v>
      </x:c>
    </x:row>
    <x:row r="33" ht="15">
      <x:c r="A33" s="5" t="s">
        <x:v>637</x:v>
      </x:c>
      <x:c r="B33" s="5">
        <x:v>10</x:v>
      </x:c>
      <x:c r="C33" s="5" t="s">
        <x:v>202</x:v>
      </x:c>
      <x:c r="D33" s="5" t="s">
        <x:v>96</x:v>
      </x:c>
      <x:c r="E33" s="5" t="s">
        <x:v>610</x:v>
      </x:c>
      <x:c r="F33" s="5">
        <x:v>61</x:v>
      </x:c>
      <x:c r="G33" s="5">
        <x:v>11</x:v>
      </x:c>
      <x:c r="H33" s="5">
        <x:v>4</x:v>
      </x:c>
      <x:c r="I33" s="5">
        <x:v>54</x:v>
      </x:c>
      <x:c r="J33" s="5">
        <x:v>-9</x:v>
      </x:c>
      <x:c r="K33" s="5">
        <x:v>-2</x:v>
      </x:c>
      <x:c r="L33" s="5" t="s">
        <x:v>572</x:v>
      </x:c>
      <x:c r="M33" s="5" t="s">
        <x:v>603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baac87cf8ed54adc"/>
  </x:tableParts>
</x:worksheet>
</file>

<file path=xl/worksheets/sheet15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34" customWidth="1"/>
    <x:col min="3" max="3" width="16" customWidth="1"/>
    <x:col min="4" max="4" width="18" customWidth="1"/>
    <x:col min="5" max="5" width="12" customWidth="1"/>
    <x:col min="6" max="6" width="18" customWidth="1"/>
    <x:col min="7" max="7" width="14" customWidth="1"/>
    <x:col min="8" max="8" width="12" customWidth="1"/>
    <x:col min="9" max="9" width="16" customWidth="1"/>
    <x:col min="10" max="11" width="24" customWidth="1"/>
    <x:col min="12" max="12" width="26" customWidth="1"/>
    <x:col min="13" max="13" width="34" customWidth="1"/>
  </x:cols>
  <x:sheetData>
    <x:row r="1" ht="40" customHeight="1">
      <x:c r="A1" s="13" t="s">
        <x:v>638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ht="32">
      <x:c r="A3" s="1" t="s">
        <x:v>639</x:v>
      </x:c>
      <x:c r="B3" s="1" t="s">
        <x:v>640</x:v>
      </x:c>
      <x:c r="C3" s="1" t="s">
        <x:v>549</x:v>
      </x:c>
      <x:c r="D3" s="1" t="s">
        <x:v>550</x:v>
      </x:c>
      <x:c r="E3" s="1" t="s">
        <x:v>551</x:v>
      </x:c>
      <x:c r="F3" s="1" t="s">
        <x:v>552</x:v>
      </x:c>
      <x:c r="G3" s="1" t="s">
        <x:v>162</x:v>
      </x:c>
      <x:c r="H3" s="1" t="s">
        <x:v>553</x:v>
      </x:c>
      <x:c r="I3" s="1" t="s">
        <x:v>554</x:v>
      </x:c>
      <x:c r="J3" s="1" t="s">
        <x:v>641</x:v>
      </x:c>
      <x:c r="K3" s="1" t="s">
        <x:v>556</x:v>
      </x:c>
      <x:c r="L3" s="1" t="s">
        <x:v>642</x:v>
      </x:c>
      <x:c r="M3" s="1" t="s">
        <x:v>238</x:v>
      </x:c>
    </x:row>
    <x:row r="4" ht="15">
      <x:c r="A4" s="5" t="s">
        <x:v>643</x:v>
      </x:c>
      <x:c r="B4" s="5" t="s">
        <x:v>644</x:v>
      </x:c>
      <x:c r="C4" s="5">
        <x:v>1</x:v>
      </x:c>
      <x:c r="D4" s="5">
        <x:v>1</x:v>
      </x:c>
      <x:c r="E4" s="6">
        <x:v>0.48</x:v>
      </x:c>
      <x:c r="F4" s="6">
        <x:v>0.86</x:v>
      </x:c>
      <x:c r="G4" s="6">
        <x:v>0.84</x:v>
      </x:c>
      <x:c r="H4" s="6">
        <x:v>2</x:v>
      </x:c>
      <x:c r="I4" s="6">
        <x:v>0.1</x:v>
      </x:c>
      <x:c r="J4" s="6" t="n">
        <x:f t="shared" ref="J4:J9" si="0">MIN(0.95,E4*(0.6+0.4*F4)*(0.75+0.25*G4)*(1-0.08*(H4-1))*(1-0.12*I4))</x:f>
        <x:v>0.39539323699199996</x:v>
      </x:c>
      <x:c r="K4" s="6" t="n">
        <x:f t="shared" ref="K4:K9" si="1">1-(1-J4)^D4</x:f>
        <x:v>0.3953932369919999</x:v>
      </x:c>
      <x:c r="L4" s="7" t="n">
        <x:f t="shared" ref="L4:L9" si="2">MAX(0,C4*(1-K4))</x:f>
        <x:v>0.6046067630080001</x:v>
      </x:c>
      <x:c r="M4" s="5" t="s">
        <x:v>645</x:v>
      </x:c>
    </x:row>
    <x:row r="5" ht="15">
      <x:c r="A5" s="5" t="s">
        <x:v>646</x:v>
      </x:c>
      <x:c r="B5" s="5" t="s">
        <x:v>647</x:v>
      </x:c>
      <x:c r="C5" s="5">
        <x:v>1</x:v>
      </x:c>
      <x:c r="D5" s="5">
        <x:v>2</x:v>
      </x:c>
      <x:c r="E5" s="6">
        <x:v>0.48</x:v>
      </x:c>
      <x:c r="F5" s="6">
        <x:v>0.86</x:v>
      </x:c>
      <x:c r="G5" s="6">
        <x:v>0.84</x:v>
      </x:c>
      <x:c r="H5" s="6">
        <x:v>2</x:v>
      </x:c>
      <x:c r="I5" s="6">
        <x:v>0.1</x:v>
      </x:c>
      <x:c r="J5" s="6">
        <x:f t="shared" si="0"/>
        <x:v>0.39539323699199996</x:v>
      </x:c>
      <x:c r="K5" s="6">
        <x:f t="shared" si="1"/>
        <x:v>0.63445066212498802</x:v>
      </x:c>
      <x:c r="L5" s="7">
        <x:f t="shared" si="2"/>
        <x:v>0.36554933787501198</x:v>
      </x:c>
      <x:c r="M5" s="5" t="s">
        <x:v>645</x:v>
      </x:c>
    </x:row>
    <x:row r="6" ht="15">
      <x:c r="A6" s="5" t="s">
        <x:v>648</x:v>
      </x:c>
      <x:c r="B6" s="5" t="s">
        <x:v>649</x:v>
      </x:c>
      <x:c r="C6" s="5">
        <x:v>3</x:v>
      </x:c>
      <x:c r="D6" s="5">
        <x:v>4</x:v>
      </x:c>
      <x:c r="E6" s="6">
        <x:v>0.43</x:v>
      </x:c>
      <x:c r="F6" s="6">
        <x:v>0.78</x:v>
      </x:c>
      <x:c r="G6" s="6">
        <x:v>0.8</x:v>
      </x:c>
      <x:c r="H6" s="6">
        <x:v>3</x:v>
      </x:c>
      <x:c r="I6" s="6">
        <x:v>0.22</x:v>
      </x:c>
      <x:c r="J6" s="6">
        <x:f t="shared" si="0"/>
        <x:v>0.30468196684800003</x:v>
      </x:c>
      <x:c r="K6" s="6">
        <x:f t="shared" si="1"/>
        <x:v>0.76625949821411332</x:v>
      </x:c>
      <x:c r="L6" s="7">
        <x:f t="shared" si="2"/>
        <x:v>0.70122150535766004</x:v>
      </x:c>
      <x:c r="M6" s="5" t="s">
        <x:v>645</x:v>
      </x:c>
    </x:row>
    <x:row r="7" ht="15">
      <x:c r="A7" s="5" t="s">
        <x:v>650</x:v>
      </x:c>
      <x:c r="B7" s="5" t="s">
        <x:v>651</x:v>
      </x:c>
      <x:c r="C7" s="5">
        <x:v>4</x:v>
      </x:c>
      <x:c r="D7" s="5">
        <x:v>6</x:v>
      </x:c>
      <x:c r="E7" s="6">
        <x:v>0.4</x:v>
      </x:c>
      <x:c r="F7" s="6">
        <x:v>0.72</x:v>
      </x:c>
      <x:c r="G7" s="6">
        <x:v>0.76</x:v>
      </x:c>
      <x:c r="H7" s="6">
        <x:v>4</x:v>
      </x:c>
      <x:c r="I7" s="6">
        <x:v>0.3</x:v>
      </x:c>
      <x:c r="J7" s="6">
        <x:f t="shared" si="0"/>
        <x:v>0.24461970431999996</x:v>
      </x:c>
      <x:c r="K7" s="6">
        <x:f t="shared" si="1"/>
        <x:v>0.81422215892674887</x:v>
      </x:c>
      <x:c r="L7" s="7">
        <x:f t="shared" si="2"/>
        <x:v>0.74311136429300451</x:v>
      </x:c>
      <x:c r="M7" s="5" t="s">
        <x:v>645</x:v>
      </x:c>
    </x:row>
    <x:row r="8" ht="15">
      <x:c r="A8" s="5" t="s">
        <x:v>652</x:v>
      </x:c>
      <x:c r="B8" s="5" t="s">
        <x:v>653</x:v>
      </x:c>
      <x:c r="C8" s="5">
        <x:v>4</x:v>
      </x:c>
      <x:c r="D8" s="5">
        <x:v>6</x:v>
      </x:c>
      <x:c r="E8" s="6">
        <x:v>0.4</x:v>
      </x:c>
      <x:c r="F8" s="6">
        <x:v>0.91</x:v>
      </x:c>
      <x:c r="G8" s="6">
        <x:v>0.82</x:v>
      </x:c>
      <x:c r="H8" s="6">
        <x:v>3</x:v>
      </x:c>
      <x:c r="I8" s="6">
        <x:v>0.18</x:v>
      </x:c>
      <x:c r="J8" s="6">
        <x:f t="shared" si="0"/>
        <x:v>0.30264682828799994</x:v>
      </x:c>
      <x:c r="K8" s="6">
        <x:f t="shared" si="1"/>
        <x:v>0.88499501039768369</x:v>
      </x:c>
      <x:c r="L8" s="7">
        <x:f t="shared" si="2"/>
        <x:v>0.46001995840926524</x:v>
      </x:c>
      <x:c r="M8" s="5" t="s">
        <x:v>645</x:v>
      </x:c>
    </x:row>
    <x:row r="9" ht="15">
      <x:c r="A9" s="5" t="s">
        <x:v>654</x:v>
      </x:c>
      <x:c r="B9" s="5" t="s">
        <x:v>655</x:v>
      </x:c>
      <x:c r="C9" s="5">
        <x:v>5</x:v>
      </x:c>
      <x:c r="D9" s="5">
        <x:v>5</x:v>
      </x:c>
      <x:c r="E9" s="6">
        <x:v>0.46</x:v>
      </x:c>
      <x:c r="F9" s="6">
        <x:v>0.84</x:v>
      </x:c>
      <x:c r="G9" s="6">
        <x:v>0.86</x:v>
      </x:c>
      <x:c r="H9" s="6">
        <x:v>2</x:v>
      </x:c>
      <x:c r="I9" s="6">
        <x:v>0.15</x:v>
      </x:c>
      <x:c r="J9" s="6">
        <x:f t="shared" si="0"/>
        <x:v>0.37537064697599998</x:v>
      </x:c>
      <x:c r="K9" s="6">
        <x:f t="shared" si="1"/>
        <x:v>0.9049150143610003</x:v>
      </x:c>
      <x:c r="L9" s="7">
        <x:f t="shared" si="2"/>
        <x:v>0.47542492819499849</x:v>
      </x:c>
      <x:c r="M9" s="5" t="s">
        <x:v>645</x:v>
      </x:c>
    </x:row>
    <x:row r="12">
      <x:c r="A12" s="15" t="s">
        <x:v>656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</x:row>
  </x:sheetData>
  <x:mergeCells>
    <x:mergeCell ref="A1:M1"/>
    <x:mergeCell ref="A12:M14"/>
  </x:mergeCells>
  <x:pageMargins left="0.7" right="0.7" top="0.75" bottom="0.75" header="0.3" footer="0.3"/>
  <x:tableParts count="1">
    <x:tablePart xmlns:r="http://schemas.openxmlformats.org/officeDocument/2006/relationships" r:id="R463ce59496384ea9"/>
  </x:tableParts>
</x:worksheet>
</file>

<file path=xl/worksheets/sheet16.xml><?xml version="1.0" encoding="utf-8"?>
<x:worksheet xmlns:x="http://schemas.openxmlformats.org/spreadsheetml/2006/main">
  <x:sheetFormatPr baseColWidth="10" defaultColWidth="8.83203125" defaultRowHeight="14"/>
  <x:cols>
    <x:col min="1" max="1" width="28" hidden="0" customWidth="1"/>
    <x:col min="2" max="2" width="32" hidden="0" customWidth="1"/>
    <x:col min="3" max="3" width="20" hidden="0" customWidth="1"/>
    <x:col min="4" max="4" width="42" hidden="0" customWidth="1"/>
    <x:col min="5" max="5" width="58" hidden="0" customWidth="1"/>
    <x:col min="6" max="6" width="24" hidden="0" customWidth="1"/>
  </x:cols>
  <x:sheetData>
    <x:row r="1" ht="28" customHeight="1">
      <x:c r="A1" s="117" t="str">
        <x:v>資料字典</x:v>
      </x:c>
      <x:c r="B1" s="118"/>
      <x:c r="C1" s="118"/>
      <x:c r="D1" s="118"/>
      <x:c r="E1" s="118"/>
      <x:c r="F1" s="118"/>
    </x:row>
    <x:row r="2" ht="32" customHeight="1">
      <x:c r="A2" s="119" t="str">
        <x:v>涵蓋既有資料表及 22–24 新增工作表；完整欄位用途另見 HTML 欄位說明。</x:v>
      </x:c>
      <x:c r="B2" s="119"/>
      <x:c r="C2" s="119"/>
      <x:c r="D2" s="119"/>
      <x:c r="E2" s="119"/>
      <x:c r="F2" s="119"/>
    </x:row>
    <x:row r="3" ht="31" customHeight="1">
      <x:c r="A3" s="120" t="str">
        <x:v>table_name</x:v>
      </x:c>
      <x:c r="B3" s="120" t="str">
        <x:v>field_name</x:v>
      </x:c>
      <x:c r="C3" s="120" t="str">
        <x:v>data_type</x:v>
      </x:c>
      <x:c r="D3" s="120" t="str">
        <x:v>allowed_or_formula</x:v>
      </x:c>
      <x:c r="E3" s="120" t="str">
        <x:v>description</x:v>
      </x:c>
      <x:c r="F3" s="123" t="str">
        <x:v>data_class</x:v>
      </x:c>
    </x:row>
    <x:row r="4" ht="34" customHeight="1">
      <x:c r="A4" s="121" t="str">
        <x:v>public_sources</x:v>
      </x:c>
      <x:c r="B4" s="121" t="str">
        <x:v>source_id</x:v>
      </x:c>
      <x:c r="C4" s="121" t="str">
        <x:v>TEXT</x:v>
      </x:c>
      <x:c r="D4" s="121" t="str"/>
      <x:c r="E4" s="121" t="str">
        <x:v>公開資料來源代碼</x:v>
      </x:c>
      <x:c r="F4" s="121" t="str">
        <x:v>真實來源</x:v>
      </x:c>
    </x:row>
    <x:row r="5" ht="34" customHeight="1">
      <x:c r="A5" s="122" t="str">
        <x:v>public_activity_sample</x:v>
      </x:c>
      <x:c r="B5" s="122" t="str">
        <x:v>report_date</x:v>
      </x:c>
      <x:c r="C5" s="122" t="str">
        <x:v>DATE</x:v>
      </x:c>
      <x:c r="D5" s="122" t="str"/>
      <x:c r="E5" s="122" t="str">
        <x:v>國防部公開活動公告日期</x:v>
      </x:c>
      <x:c r="F5" s="122" t="str">
        <x:v>真實公開資料</x:v>
      </x:c>
    </x:row>
    <x:row r="6" ht="34" customHeight="1">
      <x:c r="A6" s="121" t="str">
        <x:v>scenario_master</x:v>
      </x:c>
      <x:c r="B6" s="121" t="str">
        <x:v>scenario_id</x:v>
      </x:c>
      <x:c r="C6" s="121" t="str">
        <x:v>TEXT</x:v>
      </x:c>
      <x:c r="D6" s="121" t="str"/>
      <x:c r="E6" s="121" t="str">
        <x:v>情境代碼</x:v>
      </x:c>
      <x:c r="F6" s="121" t="str">
        <x:v>合成</x:v>
      </x:c>
    </x:row>
    <x:row r="7" ht="34" customHeight="1">
      <x:c r="A7" s="122" t="str">
        <x:v>actors</x:v>
      </x:c>
      <x:c r="B7" s="122" t="str">
        <x:v>actor_id</x:v>
      </x:c>
      <x:c r="C7" s="122" t="str">
        <x:v>TEXT</x:v>
      </x:c>
      <x:c r="D7" s="122" t="str"/>
      <x:c r="E7" s="122" t="str">
        <x:v>BLUE/RED/AMBER/WHITE</x:v>
      </x:c>
      <x:c r="F7" s="122" t="str">
        <x:v>合成</x:v>
      </x:c>
    </x:row>
    <x:row r="8" ht="34" customHeight="1">
      <x:c r="A8" s="121" t="str">
        <x:v>zones</x:v>
      </x:c>
      <x:c r="B8" s="121" t="str">
        <x:v>zone_id</x:v>
      </x:c>
      <x:c r="C8" s="121" t="str">
        <x:v>TEXT</x:v>
      </x:c>
      <x:c r="D8" s="121" t="str"/>
      <x:c r="E8" s="121" t="str">
        <x:v>抽象區域，不含座標</x:v>
      </x:c>
      <x:c r="F8" s="121" t="str">
        <x:v>合成</x:v>
      </x:c>
    </x:row>
    <x:row r="9" ht="34" customHeight="1">
      <x:c r="A9" s="122" t="str">
        <x:v>force_packages</x:v>
      </x:c>
      <x:c r="B9" s="122" t="str">
        <x:v>readiness</x:v>
      </x:c>
      <x:c r="C9" s="122" t="str">
        <x:v>INTEGER</x:v>
      </x:c>
      <x:c r="D9" s="122" t="str"/>
      <x:c r="E9" s="122" t="str">
        <x:v>初始妥善/任務準備指數0-100</x:v>
      </x:c>
      <x:c r="F9" s="122" t="str">
        <x:v>合成</x:v>
      </x:c>
    </x:row>
    <x:row r="10" ht="34" customHeight="1">
      <x:c r="A10" s="121" t="str">
        <x:v>capability_catalog</x:v>
      </x:c>
      <x:c r="B10" s="121" t="str">
        <x:v>sensor_index</x:v>
      </x:c>
      <x:c r="C10" s="121" t="str">
        <x:v>INTEGER</x:v>
      </x:c>
      <x:c r="D10" s="121" t="str"/>
      <x:c r="E10" s="121" t="str">
        <x:v>能力指數1-5</x:v>
      </x:c>
      <x:c r="F10" s="121" t="str">
        <x:v>合成</x:v>
      </x:c>
    </x:row>
    <x:row r="11" ht="34" customHeight="1">
      <x:c r="A11" s="122" t="str">
        <x:v>weather</x:v>
      </x:c>
      <x:c r="B11" s="122" t="str">
        <x:v>sea_state</x:v>
      </x:c>
      <x:c r="C11" s="122" t="str">
        <x:v>INTEGER</x:v>
      </x:c>
      <x:c r="D11" s="122" t="str"/>
      <x:c r="E11" s="122" t="str">
        <x:v>合成海況1-5</x:v>
      </x:c>
      <x:c r="F11" s="122" t="str">
        <x:v>合成</x:v>
      </x:c>
    </x:row>
    <x:row r="12" ht="34" customHeight="1">
      <x:c r="A12" s="121" t="str">
        <x:v>intelligence_reports</x:v>
      </x:c>
      <x:c r="B12" s="121" t="str">
        <x:v>confidence</x:v>
      </x:c>
      <x:c r="C12" s="121" t="str">
        <x:v>INTEGER</x:v>
      </x:c>
      <x:c r="D12" s="121" t="str"/>
      <x:c r="E12" s="121" t="str">
        <x:v>分析信心0-100</x:v>
      </x:c>
      <x:c r="F12" s="121" t="str">
        <x:v>合成</x:v>
      </x:c>
    </x:row>
    <x:row r="13" ht="34" customHeight="1">
      <x:c r="A13" s="122" t="str">
        <x:v>event_cards</x:v>
      </x:c>
      <x:c r="B13" s="122" t="str">
        <x:v>readiness_delta</x:v>
      </x:c>
      <x:c r="C13" s="122" t="str">
        <x:v>INTEGER</x:v>
      </x:c>
      <x:c r="D13" s="122" t="str"/>
      <x:c r="E13" s="122" t="str">
        <x:v>事件對準備指數的影響</x:v>
      </x:c>
      <x:c r="F13" s="122" t="str">
        <x:v>合成</x:v>
      </x:c>
    </x:row>
    <x:row r="14" ht="34" customHeight="1">
      <x:c r="A14" s="121" t="str">
        <x:v>orders</x:v>
      </x:c>
      <x:c r="B14" s="121" t="str">
        <x:v>resource_points</x:v>
      </x:c>
      <x:c r="C14" s="121" t="str">
        <x:v>INTEGER</x:v>
      </x:c>
      <x:c r="D14" s="121" t="str"/>
      <x:c r="E14" s="121" t="str">
        <x:v>抽象資源點數</x:v>
      </x:c>
      <x:c r="F14" s="121" t="str">
        <x:v>合成</x:v>
      </x:c>
    </x:row>
    <x:row r="15" ht="34" customHeight="1">
      <x:c r="A15" s="122" t="str">
        <x:v>engagement_log</x:v>
      </x:c>
      <x:c r="B15" s="122" t="str">
        <x:v>base_p</x:v>
      </x:c>
      <x:c r="C15" s="122" t="str">
        <x:v>REAL</x:v>
      </x:c>
      <x:c r="D15" s="122" t="str"/>
      <x:c r="E15" s="122" t="str">
        <x:v>單次效果基準機率，僅供教學</x:v>
      </x:c>
      <x:c r="F15" s="122" t="str">
        <x:v>合成</x:v>
      </x:c>
    </x:row>
    <x:row r="16" ht="34" customHeight="1">
      <x:c r="A16" s="121" t="str">
        <x:v>engagement_log</x:v>
      </x:c>
      <x:c r="B16" s="121" t="str">
        <x:v>adjusted_p</x:v>
      </x:c>
      <x:c r="C16" s="121" t="str">
        <x:v>FORMULA</x:v>
      </x:c>
      <x:c r="D16" s="121" t="str"/>
      <x:c r="E16" s="121" t="str">
        <x:v>含感測、妥善、海象與干擾修正</x:v>
      </x:c>
      <x:c r="F16" s="121" t="str">
        <x:v>合成</x:v>
      </x:c>
    </x:row>
    <x:row r="17" ht="34" customHeight="1">
      <x:c r="A17" s="122" t="str">
        <x:v>engagement_log</x:v>
      </x:c>
      <x:c r="B17" s="122" t="str">
        <x:v>success_probability</x:v>
      </x:c>
      <x:c r="C17" s="122" t="str">
        <x:v>FORMULA</x:v>
      </x:c>
      <x:c r="D17" s="122" t="str"/>
      <x:c r="E17" s="122" t="str">
        <x:v>至少一次成功的教學機率</x:v>
      </x:c>
      <x:c r="F17" s="122" t="str">
        <x:v>合成</x:v>
      </x:c>
    </x:row>
    <x:row r="18" ht="34" customHeight="1">
      <x:c r="A18" s="121" t="str">
        <x:v>attrition_log</x:v>
      </x:c>
      <x:c r="B18" s="121" t="str">
        <x:v>readiness_after</x:v>
      </x:c>
      <x:c r="C18" s="121" t="str">
        <x:v>INTEGER</x:v>
      </x:c>
      <x:c r="D18" s="121" t="str"/>
      <x:c r="E18" s="121" t="str">
        <x:v>回合後準備指數</x:v>
      </x:c>
      <x:c r="F18" s="121" t="str">
        <x:v>合成</x:v>
      </x:c>
    </x:row>
    <x:row r="19" ht="34" customHeight="1">
      <x:c r="A19" s="122" t="str">
        <x:v>intercept_lab</x:v>
      </x:c>
      <x:c r="B19" s="122" t="str">
        <x:v>expected_residual</x:v>
      </x:c>
      <x:c r="C19" s="122" t="str">
        <x:v>FORMULA</x:v>
      </x:c>
      <x:c r="D19" s="122" t="str"/>
      <x:c r="E19" s="122" t="str">
        <x:v>未被防護的期望目標數，僅供比較</x:v>
      </x:c>
      <x:c r="F19" s="122" t="str">
        <x:v>合成</x:v>
      </x:c>
    </x:row>
    <x:row r="20" ht="34" customHeight="1">
      <x:c r="A20" s="121" t="str">
        <x:v>scenario_master</x:v>
      </x:c>
      <x:c r="B20" s="121" t="str">
        <x:v>template_key</x:v>
      </x:c>
      <x:c r="C20" s="121" t="str">
        <x:v>TEXT</x:v>
      </x:c>
      <x:c r="D20" s="121" t="str"/>
      <x:c r="E20" s="121" t="str">
        <x:v>對應介面的情境範本代碼</x:v>
      </x:c>
      <x:c r="F20" s="121" t="str">
        <x:v>合成</x:v>
      </x:c>
    </x:row>
    <x:row r="21" ht="34" customHeight="1">
      <x:c r="A21" s="122" t="str">
        <x:v>scenario_master</x:v>
      </x:c>
      <x:c r="B21" s="122" t="str">
        <x:v>strategic_parameters_json</x:v>
      </x:c>
      <x:c r="C21" s="122" t="str">
        <x:v>JSON</x:v>
      </x:c>
      <x:c r="D21" s="122" t="str"/>
      <x:c r="E21" s="122" t="str">
        <x:v>戰略壓力參數完整設定</x:v>
      </x:c>
      <x:c r="F21" s="122" t="str">
        <x:v>合成</x:v>
      </x:c>
    </x:row>
    <x:row r="22" ht="34" customHeight="1">
      <x:c r="A22" s="121" t="str">
        <x:v>scenario_master</x:v>
      </x:c>
      <x:c r="B22" s="121" t="str">
        <x:v>resources_json</x:v>
      </x:c>
      <x:c r="C22" s="121" t="str">
        <x:v>JSON</x:v>
      </x:c>
      <x:c r="D22" s="121" t="str"/>
      <x:c r="E22" s="121" t="str">
        <x:v>十一項合成資源預設值</x:v>
      </x:c>
      <x:c r="F22" s="121" t="str">
        <x:v>合成</x:v>
      </x:c>
    </x:row>
    <x:row r="23" ht="34" customHeight="1">
      <x:c r="A23" s="122" t="str">
        <x:v>setting_catalog</x:v>
      </x:c>
      <x:c r="B23" s="122" t="str">
        <x:v>setting_id</x:v>
      </x:c>
      <x:c r="C23" s="122" t="str">
        <x:v>TEXT</x:v>
      </x:c>
      <x:c r="D23" s="122" t="str"/>
      <x:c r="E23" s="122" t="str">
        <x:v>index.html 控制項識別碼</x:v>
      </x:c>
      <x:c r="F23" s="122" t="str">
        <x:v>系統設定</x:v>
      </x:c>
    </x:row>
    <x:row r="24" ht="34" customHeight="1">
      <x:c r="A24" s="121" t="str">
        <x:v>setting_catalog</x:v>
      </x:c>
      <x:c r="B24" s="121" t="str">
        <x:v>option_values_json</x:v>
      </x:c>
      <x:c r="C24" s="121" t="str">
        <x:v>JSON</x:v>
      </x:c>
      <x:c r="D24" s="121" t="str"/>
      <x:c r="E24" s="121" t="str">
        <x:v>選單可用值；動態選單可為空陣列</x:v>
      </x:c>
      <x:c r="F24" s="121" t="str">
        <x:v>系統設定</x:v>
      </x:c>
    </x:row>
    <x:row r="25" ht="34" customHeight="1">
      <x:c r="A25" s="122" t="str">
        <x:v>resource_catalog</x:v>
      </x:c>
      <x:c r="B25" s="122" t="str">
        <x:v>resource_id</x:v>
      </x:c>
      <x:c r="C25" s="122" t="str">
        <x:v>TEXT</x:v>
      </x:c>
      <x:c r="D25" s="122" t="str"/>
      <x:c r="E25" s="122" t="str">
        <x:v>與 app.js RESOURCE_DEFAULTS 對應</x:v>
      </x:c>
      <x:c r="F25" s="122" t="str">
        <x:v>合成</x:v>
      </x:c>
    </x:row>
    <x:row r="26" ht="34" customHeight="1">
      <x:c r="A26" s="121" t="str">
        <x:v>action_catalog</x:v>
      </x:c>
      <x:c r="B26" s="121" t="str">
        <x:v>action_id</x:v>
      </x:c>
      <x:c r="C26" s="121" t="str">
        <x:v>TEXT</x:v>
      </x:c>
      <x:c r="D26" s="121" t="str"/>
      <x:c r="E26" s="121" t="str">
        <x:v>與 app.js ACTIONS 對應</x:v>
      </x:c>
      <x:c r="F26" s="121" t="str">
        <x:v>合成</x:v>
      </x:c>
    </x:row>
    <x:row r="27" ht="34" customHeight="1">
      <x:c r="A27" s="122" t="str">
        <x:v>llm_providers</x:v>
      </x:c>
      <x:c r="B27" s="122" t="str">
        <x:v>endpoint</x:v>
      </x:c>
      <x:c r="C27" s="122" t="str">
        <x:v>TEXT</x:v>
      </x:c>
      <x:c r="D27" s="122" t="str"/>
      <x:c r="E27" s="122" t="str">
        <x:v>供應商預設 HTTPS API Endpoint</x:v>
      </x:c>
      <x:c r="F27" s="122" t="str">
        <x:v>系統設定</x:v>
      </x:c>
    </x:row>
    <x:row r="28" ht="34" customHeight="1">
      <x:c r="A28" s="121" t="str">
        <x:v>llm_providers</x:v>
      </x:c>
      <x:c r="B28" s="121" t="str">
        <x:v>api_key_storage</x:v>
      </x:c>
      <x:c r="C28" s="121" t="str">
        <x:v>TEXT</x:v>
      </x:c>
      <x:c r="D28" s="121" t="str"/>
      <x:c r="E28" s="121" t="str">
        <x:v>僅記錄保存政策，不保存任何金鑰</x:v>
      </x:c>
      <x:c r="F28" s="121" t="str">
        <x:v>系統設定</x:v>
      </x:c>
    </x:row>
    <x:row r="29" ht="34" customHeight="1">
      <x:c r="A29" s="122" t="str">
        <x:v>22_Named_Resources</x:v>
      </x:c>
      <x:c r="B29" s="122" t="str">
        <x:v>resource_id</x:v>
      </x:c>
      <x:c r="C29" s="122" t="str">
        <x:v>TEXT / PK</x:v>
      </x:c>
      <x:c r="D29" s="122" t="str">
        <x:v>NR-{actor}-{nn}</x:v>
      </x:c>
      <x:c r="E29" s="122" t="str">
        <x:v>具名教學資源唯一代碼</x:v>
      </x:c>
      <x:c r="F29" s="122" t="str">
        <x:v>EDUCATIONAL_SYNTHETIC</x:v>
      </x:c>
    </x:row>
    <x:row r="30" ht="34" customHeight="1">
      <x:c r="A30" s="121" t="str">
        <x:v>22_Named_Resources</x:v>
      </x:c>
      <x:c r="B30" s="121" t="str">
        <x:v>actor_id</x:v>
      </x:c>
      <x:c r="C30" s="121" t="str">
        <x:v>TEXT / FK</x:v>
      </x:c>
      <x:c r="D30" s="121" t="str">
        <x:v>BLUE／RED／AMBER</x:v>
      </x:c>
      <x:c r="E30" s="121" t="str">
        <x:v>資源所屬方</x:v>
      </x:c>
      <x:c r="F30" s="121" t="str">
        <x:v>EDUCATIONAL_SYNTHETIC</x:v>
      </x:c>
    </x:row>
    <x:row r="31" ht="34" customHeight="1">
      <x:c r="A31" s="122" t="str">
        <x:v>22_Named_Resources</x:v>
      </x:c>
      <x:c r="B31" s="122" t="str">
        <x:v>equipment_name</x:v>
      </x:c>
      <x:c r="C31" s="122" t="str">
        <x:v>TEXT</x:v>
      </x:c>
      <x:c r="D31" s="122" t="str">
        <x:v>公開名稱</x:v>
      </x:c>
      <x:c r="E31" s="122" t="str">
        <x:v>只作敘事標籤</x:v>
      </x:c>
      <x:c r="F31" s="122" t="str">
        <x:v>PUBLIC_NAME_ONLY</x:v>
      </x:c>
    </x:row>
    <x:row r="32" ht="34" customHeight="1">
      <x:c r="A32" s="121" t="str">
        <x:v>22_Named_Resources</x:v>
      </x:c>
      <x:c r="B32" s="121" t="str">
        <x:v>category_key</x:v>
      </x:c>
      <x:c r="C32" s="121" t="str">
        <x:v>TEXT</x:v>
      </x:c>
      <x:c r="D32" s="121" t="str">
        <x:v>9 種類別鍵</x:v>
      </x:c>
      <x:c r="E32" s="121" t="str">
        <x:v>對應 INVENTORY_CATEGORIES</x:v>
      </x:c>
      <x:c r="F32" s="121" t="str">
        <x:v>SYSTEM_SETTING</x:v>
      </x:c>
    </x:row>
    <x:row r="33" ht="34" customHeight="1">
      <x:c r="A33" s="122" t="str">
        <x:v>22_Named_Resources</x:v>
      </x:c>
      <x:c r="B33" s="122" t="str">
        <x:v>game_stock</x:v>
      </x:c>
      <x:c r="C33" s="122" t="str">
        <x:v>NUMBER</x:v>
      </x:c>
      <x:c r="D33" s="122" t="str">
        <x:v>合成值</x:v>
      </x:c>
      <x:c r="E33" s="122" t="str">
        <x:v>教學資源總量</x:v>
      </x:c>
      <x:c r="F33" s="122" t="str">
        <x:v>EDUCATIONAL_SYNTHETIC</x:v>
      </x:c>
    </x:row>
    <x:row r="34" ht="34" customHeight="1">
      <x:c r="A34" s="121" t="str">
        <x:v>22_Named_Resources</x:v>
      </x:c>
      <x:c r="B34" s="121" t="str">
        <x:v>availability_pct</x:v>
      </x:c>
      <x:c r="C34" s="121" t="str">
        <x:v>NUMBER 0–100</x:v>
      </x:c>
      <x:c r="D34" s="121" t="str">
        <x:v>合成值</x:v>
      </x:c>
      <x:c r="E34" s="121" t="str">
        <x:v>本回合可用比例</x:v>
      </x:c>
      <x:c r="F34" s="121" t="str">
        <x:v>EDUCATIONAL_SYNTHETIC</x:v>
      </x:c>
    </x:row>
    <x:row r="35" ht="34" customHeight="1">
      <x:c r="A35" s="122" t="str">
        <x:v>22_Named_Resources</x:v>
      </x:c>
      <x:c r="B35" s="122" t="str">
        <x:v>reserve_pct</x:v>
      </x:c>
      <x:c r="C35" s="122" t="str">
        <x:v>NUMBER 0–100</x:v>
      </x:c>
      <x:c r="D35" s="122" t="str">
        <x:v>合成值</x:v>
      </x:c>
      <x:c r="E35" s="122" t="str">
        <x:v>保留比例</x:v>
      </x:c>
      <x:c r="F35" s="122" t="str">
        <x:v>EDUCATIONAL_SYNTHETIC</x:v>
      </x:c>
    </x:row>
    <x:row r="36" ht="34" customHeight="1">
      <x:c r="A36" s="121" t="str">
        <x:v>22_Named_Resources</x:v>
      </x:c>
      <x:c r="B36" s="121" t="str">
        <x:v>consumption_per_action</x:v>
      </x:c>
      <x:c r="C36" s="121" t="str">
        <x:v>NUMBER</x:v>
      </x:c>
      <x:c r="D36" s="121" t="str">
        <x:v>合成值</x:v>
      </x:c>
      <x:c r="E36" s="121" t="str">
        <x:v>每次行動抽象消耗</x:v>
      </x:c>
      <x:c r="F36" s="121" t="str">
        <x:v>EDUCATIONAL_SYNTHETIC</x:v>
      </x:c>
    </x:row>
    <x:row r="37" ht="34" customHeight="1">
      <x:c r="A37" s="122" t="str">
        <x:v>22_Named_Resources</x:v>
      </x:c>
      <x:c r="B37" s="122" t="str">
        <x:v>recovery_per_turn</x:v>
      </x:c>
      <x:c r="C37" s="122" t="str">
        <x:v>NUMBER</x:v>
      </x:c>
      <x:c r="D37" s="122" t="str">
        <x:v>合成值</x:v>
      </x:c>
      <x:c r="E37" s="122" t="str">
        <x:v>每回合抽象恢復</x:v>
      </x:c>
      <x:c r="F37" s="122" t="str">
        <x:v>EDUCATIONAL_SYNTHETIC</x:v>
      </x:c>
    </x:row>
    <x:row r="38" ht="34" customHeight="1">
      <x:c r="A38" s="121" t="str">
        <x:v>22_Named_Resources</x:v>
      </x:c>
      <x:c r="B38" s="121" t="str">
        <x:v>replenishment</x:v>
      </x:c>
      <x:c r="C38" s="121" t="str">
        <x:v>NUMBER</x:v>
      </x:c>
      <x:c r="D38" s="121" t="str">
        <x:v>合成值</x:v>
      </x:c>
      <x:c r="E38" s="121" t="str">
        <x:v>補充量</x:v>
      </x:c>
      <x:c r="F38" s="121" t="str">
        <x:v>EDUCATIONAL_SYNTHETIC</x:v>
      </x:c>
    </x:row>
    <x:row r="39" ht="34" customHeight="1">
      <x:c r="A39" s="122" t="str">
        <x:v>22_Named_Resources</x:v>
      </x:c>
      <x:c r="B39" s="122" t="str">
        <x:v>delay_turns</x:v>
      </x:c>
      <x:c r="C39" s="122" t="str">
        <x:v>NUMBER</x:v>
      </x:c>
      <x:c r="D39" s="122" t="str">
        <x:v>合成值</x:v>
      </x:c>
      <x:c r="E39" s="122" t="str">
        <x:v>補充延遲回合</x:v>
      </x:c>
      <x:c r="F39" s="122" t="str">
        <x:v>EDUCATIONAL_SYNTHETIC</x:v>
      </x:c>
    </x:row>
    <x:row r="40" ht="34" customHeight="1">
      <x:c r="A40" s="121" t="str">
        <x:v>22_Named_Resources</x:v>
      </x:c>
      <x:c r="B40" s="121" t="str">
        <x:v>reliability_pct</x:v>
      </x:c>
      <x:c r="C40" s="121" t="str">
        <x:v>NUMBER 0–100</x:v>
      </x:c>
      <x:c r="D40" s="121" t="str">
        <x:v>合成值</x:v>
      </x:c>
      <x:c r="E40" s="121" t="str">
        <x:v>抽象可靠度</x:v>
      </x:c>
      <x:c r="F40" s="121" t="str">
        <x:v>EDUCATIONAL_SYNTHETIC</x:v>
      </x:c>
    </x:row>
    <x:row r="41" ht="34" customHeight="1">
      <x:c r="A41" s="122" t="str">
        <x:v>22_Named_Resources</x:v>
      </x:c>
      <x:c r="B41" s="122" t="str">
        <x:v>usable_points</x:v>
      </x:c>
      <x:c r="C41" s="122" t="str">
        <x:v>FORMULA</x:v>
      </x:c>
      <x:c r="D41" s="122" t="str">
        <x:v>stock×availability×reliability</x:v>
      </x:c>
      <x:c r="E41" s="122" t="str">
        <x:v>可用點數</x:v>
      </x:c>
      <x:c r="F41" s="122" t="str">
        <x:v>DERIVED_SYNTHETIC</x:v>
      </x:c>
    </x:row>
    <x:row r="42" ht="34" customHeight="1">
      <x:c r="A42" s="121" t="str">
        <x:v>22_Named_Resources</x:v>
      </x:c>
      <x:c r="B42" s="121" t="str">
        <x:v>committable_points</x:v>
      </x:c>
      <x:c r="C42" s="121" t="str">
        <x:v>FORMULA</x:v>
      </x:c>
      <x:c r="D42" s="121" t="str">
        <x:v>max(0, usable−reserve)</x:v>
      </x:c>
      <x:c r="E42" s="121" t="str">
        <x:v>可投入點數</x:v>
      </x:c>
      <x:c r="F42" s="121" t="str">
        <x:v>DERIVED_SYNTHETIC</x:v>
      </x:c>
    </x:row>
    <x:row r="43" ht="34" customHeight="1">
      <x:c r="A43" s="122" t="str">
        <x:v>22_Named_Resources</x:v>
      </x:c>
      <x:c r="B43" s="122" t="str">
        <x:v>endurance_turns</x:v>
      </x:c>
      <x:c r="C43" s="122" t="str">
        <x:v>FORMULA</x:v>
      </x:c>
      <x:c r="D43" s="122" t="str">
        <x:v>committable／consumption</x:v>
      </x:c>
      <x:c r="E43" s="122" t="str">
        <x:v>抽象持續回合</x:v>
      </x:c>
      <x:c r="F43" s="122" t="str">
        <x:v>DERIVED_SYNTHETIC</x:v>
      </x:c>
    </x:row>
    <x:row r="44" ht="34" customHeight="1">
      <x:c r="A44" s="121" t="str">
        <x:v>22_Named_Resources</x:v>
      </x:c>
      <x:c r="B44" s="121" t="str">
        <x:v>abstract_score</x:v>
      </x:c>
      <x:c r="C44" s="121" t="str">
        <x:v>FORMULA 0–100</x:v>
      </x:c>
      <x:c r="D44" s="121" t="str">
        <x:v>基準化可用量＋持續性</x:v>
      </x:c>
      <x:c r="E44" s="121" t="str">
        <x:v>LLM 與摘要使用的教學分數</x:v>
      </x:c>
      <x:c r="F44" s="121" t="str">
        <x:v>DERIVED_SYNTHETIC</x:v>
      </x:c>
    </x:row>
    <x:row r="45" ht="34" customHeight="1">
      <x:c r="A45" s="122" t="str">
        <x:v>23_Model_Config</x:v>
      </x:c>
      <x:c r="B45" s="122" t="str">
        <x:v>config_key</x:v>
      </x:c>
      <x:c r="C45" s="122" t="str">
        <x:v>TEXT / PK</x:v>
      </x:c>
      <x:c r="D45" s="122" t="str">
        <x:v>常數或控制項 ID</x:v>
      </x:c>
      <x:c r="E45" s="122" t="str">
        <x:v>組態唯一鍵</x:v>
      </x:c>
      <x:c r="F45" s="122" t="str">
        <x:v>SYSTEM_SETTING</x:v>
      </x:c>
    </x:row>
    <x:row r="46" ht="34" customHeight="1">
      <x:c r="A46" s="121" t="str">
        <x:v>23_Model_Config</x:v>
      </x:c>
      <x:c r="B46" s="121" t="str">
        <x:v>current_value</x:v>
      </x:c>
      <x:c r="C46" s="121" t="str">
        <x:v>VARIANT</x:v>
      </x:c>
      <x:c r="D46" s="121" t="str">
        <x:v>數字、布林或列舉</x:v>
      </x:c>
      <x:c r="E46" s="121" t="str">
        <x:v>目前程式設定值</x:v>
      </x:c>
      <x:c r="F46" s="121" t="str">
        <x:v>SYSTEM_SETTING</x:v>
      </x:c>
    </x:row>
    <x:row r="47" ht="34" customHeight="1">
      <x:c r="A47" s="122" t="str">
        <x:v>24_Project_Files</x:v>
      </x:c>
      <x:c r="B47" s="122" t="str">
        <x:v>path</x:v>
      </x:c>
      <x:c r="C47" s="122" t="str">
        <x:v>TEXT / PK</x:v>
      </x:c>
      <x:c r="D47" s="122" t="str">
        <x:v>相對路徑</x:v>
      </x:c>
      <x:c r="E47" s="122" t="str">
        <x:v>本次校對使用的檔案</x:v>
      </x:c>
      <x:c r="F47" s="122" t="str">
        <x:v>REFERENCE</x:v>
      </x:c>
    </x:row>
    <x:row r="48" ht="34" customHeight="1">
      <x:c r="A48" s="121" t="str">
        <x:v>24_Project_Files</x:v>
      </x:c>
      <x:c r="B48" s="121" t="str">
        <x:v>authority</x:v>
      </x:c>
      <x:c r="C48" s="121" t="str">
        <x:v>TEXT</x:v>
      </x:c>
      <x:c r="D48" s="121" t="str">
        <x:v>執行時／輔助參考</x:v>
      </x:c>
      <x:c r="E48" s="121" t="str">
        <x:v>說明來源權威層次</x:v>
      </x:c>
      <x:c r="F48" s="121" t="str">
        <x:v>REFERENCE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dff65904fe246a6"/>
  </x:tableParts>
</x:worksheet>
</file>

<file path=xl/worksheets/sheet17.xml><?xml version="1.0" encoding="utf-8"?>
<x:worksheet xmlns:x="http://schemas.openxmlformats.org/spreadsheetml/2006/main">
  <x:sheetFormatPr baseColWidth="10" defaultColWidth="8.83203125" defaultRowHeight="14"/>
  <x:cols>
    <x:col min="1" max="1" width="6.83203125" customWidth="1"/>
    <x:col min="2" max="2" width="17.1640625" customWidth="1"/>
    <x:col min="3" max="3" width="15.83203125" customWidth="1"/>
    <x:col min="4" max="4" width="16.83203125" customWidth="1"/>
    <x:col min="5" max="5" width="14.83203125" customWidth="1"/>
    <x:col min="6" max="6" width="5.6640625" customWidth="1"/>
    <x:col min="8" max="11" width="18" customWidth="1"/>
    <x:col min="12" max="12" width="28" customWidth="1"/>
  </x:cols>
  <x:sheetData>
    <x:row r="1" ht="21">
      <x:c r="A1" s="13" t="s">
        <x:v>657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3" ht="16">
      <x:c r="A3" s="1" t="s">
        <x:v>658</x:v>
      </x:c>
      <x:c r="B3" s="1" t="s">
        <x:v>659</x:v>
      </x:c>
      <x:c r="C3" s="1" t="s">
        <x:v>660</x:v>
      </x:c>
      <x:c r="D3" s="1" t="s">
        <x:v>661</x:v>
      </x:c>
      <x:c r="H3" s="1" t="s">
        <x:v>662</x:v>
      </x:c>
      <x:c r="I3" s="1" t="s">
        <x:v>659</x:v>
      </x:c>
      <x:c r="J3" s="1" t="s">
        <x:v>660</x:v>
      </x:c>
      <x:c r="K3" s="1" t="s">
        <x:v>663</x:v>
      </x:c>
      <x:c r="L3" s="1" t="s">
        <x:v>664</x:v>
      </x:c>
    </x:row>
    <x:row r="4" ht="40" customHeight="1">
      <x:c r="A4" s="2" t="str">
        <x:v>公開資料來源</x:v>
      </x:c>
      <x:c r="B4" s="3" t="n">
        <x:f>COUNTA('01_Public_Sources'!A4:A1000)</x:f>
        <x:v>41</x:v>
      </x:c>
      <x:c r="C4" s="3" t="s">
        <x:v>665</x:v>
      </x:c>
      <x:c r="D4" s="3" t="s">
        <x:v>666</x:v>
      </x:c>
      <x:c r="H4" s="2" t="s">
        <x:v>667</x:v>
      </x:c>
      <x:c r="I4">
        <x:v>24</x:v>
      </x:c>
      <x:c r="J4" t="s">
        <x:v>668</x:v>
      </x:c>
      <x:c r="K4" t="s">
        <x:v>172</x:v>
      </x:c>
      <x:c r="L4" t="s">
        <x:v>669</x:v>
      </x:c>
    </x:row>
    <x:row r="5" ht="40" customHeight="1">
      <x:c r="A5" s="2" t="str">
        <x:v>合成兵力包</x:v>
      </x:c>
      <x:c r="B5" s="3" t="n">
        <x:f>COUNTA('06_Force_Packages'!A4:A1000)</x:f>
        <x:v>23</x:v>
      </x:c>
      <x:c r="C5" s="3" t="s">
        <x:v>665</x:v>
      </x:c>
      <x:c r="D5" s="3" t="s">
        <x:v>670</x:v>
      </x:c>
      <x:c r="H5" s="2" t="s">
        <x:v>671</x:v>
      </x:c>
      <x:c r="I5">
        <x:v>13</x:v>
      </x:c>
      <x:c r="J5" t="s">
        <x:v>668</x:v>
      </x:c>
      <x:c r="K5" t="s">
        <x:v>172</x:v>
      </x:c>
      <x:c r="L5" t="s">
        <x:v>672</x:v>
      </x:c>
    </x:row>
    <x:row r="6" ht="40" customHeight="1">
      <x:c r="A6" s="2" t="str">
        <x:v>情境範本</x:v>
      </x:c>
      <x:c r="B6" s="3" t="n">
        <x:f>COUNTA('17_Scenario_Templates'!A4:A1000)</x:f>
        <x:v>9</x:v>
      </x:c>
      <x:c r="C6" s="3" t="s">
        <x:v>673</x:v>
      </x:c>
      <x:c r="D6" s="3" t="s">
        <x:v>674</x:v>
      </x:c>
      <x:c r="H6" s="2" t="s">
        <x:v>675</x:v>
      </x:c>
      <x:c r="I6" t="n">
        <x:f>COUNTA('10_Event_Cards'!A4:A1000)</x:f>
        <x:v>15</x:v>
      </x:c>
      <x:c r="J6" t="s">
        <x:v>676</x:v>
      </x:c>
      <x:c r="K6" t="s">
        <x:v>172</x:v>
      </x:c>
      <x:c r="L6" t="s">
        <x:v>677</x:v>
      </x:c>
    </x:row>
    <x:row r="7" ht="40" customHeight="1">
      <x:c r="A7" s="2" t="str">
        <x:v>具名教學資源</x:v>
      </x:c>
      <x:c r="B7" s="3" t="n">
        <x:f>COUNTA('22_Named_Resources'!A4:A1000)</x:f>
        <x:v>33</x:v>
      </x:c>
      <x:c r="C7" s="3" t="s">
        <x:v>668</x:v>
      </x:c>
      <x:c r="D7" s="3" t="s">
        <x:v>678</x:v>
      </x:c>
      <x:c r="H7" s="2" t="s">
        <x:v>679</x:v>
      </x:c>
      <x:c r="I7">
        <x:v>5</x:v>
      </x:c>
      <x:c r="J7" t="s">
        <x:v>668</x:v>
      </x:c>
      <x:c r="K7" t="s">
        <x:v>680</x:v>
      </x:c>
      <x:c r="L7" t="s">
        <x:v>681</x:v>
      </x:c>
    </x:row>
    <x:row r="10" ht="32">
      <x:c r="A10" s="1" t="s">
        <x:v>84</x:v>
      </x:c>
      <x:c r="B10" s="1" t="s">
        <x:v>682</x:v>
      </x:c>
      <x:c r="C10" s="1" t="s">
        <x:v>683</x:v>
      </x:c>
      <x:c r="D10" s="1" t="s">
        <x:v>598</x:v>
      </x:c>
      <x:c r="E10" s="1" t="s">
        <x:v>599</x:v>
      </x:c>
      <x:c r="F10" s="1" t="s">
        <x:v>684</x:v>
      </x:c>
      <x:c r="H10" s="1" t="s">
        <x:v>302</x:v>
      </x:c>
      <x:c r="I10" s="1" t="s">
        <x:v>90</x:v>
      </x:c>
      <x:c r="J10" s="1" t="s">
        <x:v>96</x:v>
      </x:c>
      <x:c r="K10" s="1" t="s">
        <x:v>101</x:v>
      </x:c>
    </x:row>
    <x:row r="11" ht="15">
      <x:c r="A11" s="5" t="s">
        <x:v>90</x:v>
      </x:c>
      <x:c r="B11" s="5">
        <x:v>68.400000000000006</x:v>
      </x:c>
      <x:c r="C11" s="5">
        <x:v>64.8</x:v>
      </x:c>
      <x:c r="D11" s="5">
        <x:v>-25</x:v>
      </x:c>
      <x:c r="E11" s="5">
        <x:v>-32</x:v>
      </x:c>
      <x:c r="F11" s="5">
        <x:v>5</x:v>
      </x:c>
      <x:c r="H11" s="8">
        <x:v>1</x:v>
      </x:c>
      <x:c r="I11" s="8">
        <x:v>76</x:v>
      </x:c>
      <x:c r="J11" s="8">
        <x:v>80.7</x:v>
      </x:c>
      <x:c r="K11" s="8">
        <x:v>85.5</x:v>
      </x:c>
    </x:row>
    <x:row r="12" ht="15">
      <x:c r="A12" s="5" t="s">
        <x:v>96</x:v>
      </x:c>
      <x:c r="B12" s="5">
        <x:v>69.8</x:v>
      </x:c>
      <x:c r="C12" s="5">
        <x:v>65.3</x:v>
      </x:c>
      <x:c r="D12" s="5">
        <x:v>-122</x:v>
      </x:c>
      <x:c r="E12" s="5">
        <x:v>-140</x:v>
      </x:c>
      <x:c r="F12" s="5">
        <x:v>18</x:v>
      </x:c>
      <x:c r="H12" s="8">
        <x:v>2</x:v>
      </x:c>
      <x:c r="I12" s="8">
        <x:v>76</x:v>
      </x:c>
      <x:c r="J12" s="8">
        <x:v>79.7</x:v>
      </x:c>
      <x:c r="K12" s="8">
        <x:v>86.8</x:v>
      </x:c>
    </x:row>
    <x:row r="13" ht="30">
      <x:c r="A13" s="5" t="s">
        <x:v>101</x:v>
      </x:c>
      <x:c r="B13" s="5">
        <x:v>68</x:v>
      </x:c>
      <x:c r="C13" s="5">
        <x:v>66.599999999999994</x:v>
      </x:c>
      <x:c r="D13" s="5">
        <x:v>-9</x:v>
      </x:c>
      <x:c r="E13" s="5">
        <x:v>-49</x:v>
      </x:c>
      <x:c r="F13" s="5">
        <x:v>5</x:v>
      </x:c>
      <x:c r="H13" s="8">
        <x:v>3</x:v>
      </x:c>
      <x:c r="I13" s="8">
        <x:v>76</x:v>
      </x:c>
      <x:c r="J13" s="8">
        <x:v>79.400000000000006</x:v>
      </x:c>
      <x:c r="K13" s="8">
        <x:v>86.8</x:v>
      </x:c>
    </x:row>
    <x:row r="14">
      <x:c r="H14" s="8">
        <x:v>4</x:v>
      </x:c>
      <x:c r="I14" s="8">
        <x:v>76</x:v>
      </x:c>
      <x:c r="J14" s="8">
        <x:v>78.599999999999994</x:v>
      </x:c>
      <x:c r="K14" s="8">
        <x:v>86.8</x:v>
      </x:c>
    </x:row>
    <x:row r="15">
      <x:c r="H15" s="8">
        <x:v>5</x:v>
      </x:c>
      <x:c r="I15" s="8">
        <x:v>76</x:v>
      </x:c>
      <x:c r="J15" s="8">
        <x:v>76.400000000000006</x:v>
      </x:c>
      <x:c r="K15" s="8">
        <x:v>86.8</x:v>
      </x:c>
    </x:row>
    <x:row r="16">
      <x:c r="H16" s="8">
        <x:v>6</x:v>
      </x:c>
      <x:c r="I16" s="8">
        <x:v>76</x:v>
      </x:c>
      <x:c r="J16" s="8">
        <x:v>74.3</x:v>
      </x:c>
      <x:c r="K16" s="8">
        <x:v>86.8</x:v>
      </x:c>
    </x:row>
    <x:row r="17">
      <x:c r="H17" s="8">
        <x:v>7</x:v>
      </x:c>
      <x:c r="I17" s="8">
        <x:v>75.599999999999994</x:v>
      </x:c>
      <x:c r="J17" s="8">
        <x:v>74.3</x:v>
      </x:c>
      <x:c r="K17" s="8">
        <x:v>86.8</x:v>
      </x:c>
    </x:row>
    <x:row r="18">
      <x:c r="H18" s="8">
        <x:v>8</x:v>
      </x:c>
      <x:c r="I18" s="8">
        <x:v>75.2</x:v>
      </x:c>
      <x:c r="J18" s="8">
        <x:v>72.7</x:v>
      </x:c>
      <x:c r="K18" s="8">
        <x:v>86.8</x:v>
      </x:c>
    </x:row>
    <x:row r="19">
      <x:c r="H19" s="8">
        <x:v>9</x:v>
      </x:c>
      <x:c r="I19" s="8">
        <x:v>74.400000000000006</x:v>
      </x:c>
      <x:c r="J19" s="8">
        <x:v>71.3</x:v>
      </x:c>
      <x:c r="K19" s="8">
        <x:v>86.8</x:v>
      </x:c>
    </x:row>
    <x:row r="20">
      <x:c r="H20" s="8">
        <x:v>10</x:v>
      </x:c>
      <x:c r="I20" s="8">
        <x:v>74.400000000000006</x:v>
      </x:c>
      <x:c r="J20" s="8">
        <x:v>70</x:v>
      </x:c>
      <x:c r="K20" s="8">
        <x:v>86.8</x:v>
      </x:c>
    </x:row>
    <x:row r="21">
      <x:c r="H21" s="8">
        <x:v>11</x:v>
      </x:c>
      <x:c r="I21" s="8">
        <x:v>74.400000000000006</x:v>
      </x:c>
      <x:c r="J21" s="8">
        <x:v>70</x:v>
      </x:c>
      <x:c r="K21" s="8">
        <x:v>86.8</x:v>
      </x:c>
    </x:row>
    <x:row r="22">
      <x:c r="H22" s="8">
        <x:v>12</x:v>
      </x:c>
      <x:c r="I22" s="8">
        <x:v>74.400000000000006</x:v>
      </x:c>
      <x:c r="J22" s="8">
        <x:v>70</x:v>
      </x:c>
      <x:c r="K22" s="8">
        <x:v>86.8</x:v>
      </x:c>
    </x:row>
    <x:row r="34">
      <x:c r="A34" s="15" t="s">
        <x:v>685</x:v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</x:sheetData>
  <x:mergeCells>
    <x:mergeCell ref="A1:L1"/>
    <x:mergeCell ref="A34:L36"/>
  </x:mergeCells>
  <x:pageMargins left="0.7" right="0.7" top="0.75" bottom="0.75" header="0.3" footer="0.3"/>
  <x:drawing xmlns:r="http://schemas.openxmlformats.org/officeDocument/2006/relationships" r:id="R3e67ea022cee474f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8" customWidth="1"/>
    <x:col min="3" max="3" width="38" customWidth="1"/>
    <x:col min="4" max="4" width="16" customWidth="1"/>
    <x:col min="5" max="5" width="12" customWidth="1"/>
    <x:col min="6" max="6" width="9" customWidth="1"/>
    <x:col min="7" max="7" width="12" customWidth="1"/>
    <x:col min="8" max="8" width="14" customWidth="1"/>
    <x:col min="9" max="9" width="13" customWidth="1"/>
    <x:col min="10" max="10" width="11" customWidth="1"/>
    <x:col min="11" max="11" width="14" customWidth="1"/>
    <x:col min="12" max="12" width="12" customWidth="1"/>
    <x:col min="13" max="13" width="18" customWidth="1"/>
    <x:col min="14" max="14" width="14" customWidth="1"/>
    <x:col min="15" max="15" width="34" customWidth="1"/>
    <x:col min="16" max="16" width="50" customWidth="1"/>
    <x:col min="17" max="18" width="42" customWidth="1"/>
    <x:col min="19" max="20" width="50" customWidth="1"/>
    <x:col min="21" max="21" width="48" customWidth="1"/>
    <x:col min="22" max="23" width="50" customWidth="1"/>
    <x:col min="24" max="24" width="24" customWidth="1"/>
  </x:cols>
  <x:sheetData>
    <x:row r="1" ht="26" customHeight="1">
      <x:c r="A1" s="18" t="s">
        <x:v>686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</x:row>
    <x:row r="3" ht="30" customHeight="1">
      <x:c r="A3" s="9" t="s">
        <x:v>26</x:v>
      </x:c>
      <x:c r="B3" s="9" t="s">
        <x:v>687</x:v>
      </x:c>
      <x:c r="C3" s="9" t="s">
        <x:v>688</x:v>
      </x:c>
      <x:c r="D3" s="9" t="s">
        <x:v>689</x:v>
      </x:c>
      <x:c r="E3" s="9" t="s">
        <x:v>690</x:v>
      </x:c>
      <x:c r="F3" s="9" t="s">
        <x:v>673</x:v>
      </x:c>
      <x:c r="G3" s="9" t="s">
        <x:v>691</x:v>
      </x:c>
      <x:c r="H3" s="9" t="s">
        <x:v>692</x:v>
      </x:c>
      <x:c r="I3" s="9" t="s">
        <x:v>693</x:v>
      </x:c>
      <x:c r="J3" s="9" t="s">
        <x:v>694</x:v>
      </x:c>
      <x:c r="K3" s="9" t="s">
        <x:v>695</x:v>
      </x:c>
      <x:c r="L3" s="9" t="s">
        <x:v>696</x:v>
      </x:c>
      <x:c r="M3" s="9" t="s">
        <x:v>697</x:v>
      </x:c>
      <x:c r="N3" s="9" t="s">
        <x:v>698</x:v>
      </x:c>
      <x:c r="O3" s="9" t="s">
        <x:v>699</x:v>
      </x:c>
      <x:c r="P3" s="9" t="s">
        <x:v>700</x:v>
      </x:c>
      <x:c r="Q3" s="9" t="str">
        <x:v>objectives_json</x:v>
      </x:c>
      <x:c r="R3" s="9" t="str">
        <x:v>success_criteria_json</x:v>
      </x:c>
      <x:c r="S3" s="9" t="str">
        <x:v>constraints_json</x:v>
      </x:c>
      <x:c r="T3" s="9" t="str">
        <x:v>references_json</x:v>
      </x:c>
      <x:c r="U3" s="9" t="str">
        <x:v>strategic_parameters_json</x:v>
      </x:c>
      <x:c r="V3" s="9" t="str">
        <x:v>resources_json</x:v>
      </x:c>
      <x:c r="W3" s="9" t="str">
        <x:v>events_json</x:v>
      </x:c>
      <x:c r="X3" s="9" t="str">
        <x:v>data_class</x:v>
      </x:c>
    </x:row>
    <x:row r="4" ht="42">
      <x:c r="A4" s="10" t="s">
        <x:v>38</x:v>
      </x:c>
      <x:c r="B4" s="10" t="s">
        <x:v>701</x:v>
      </x:c>
      <x:c r="C4" s="10" t="s">
        <x:v>37</x:v>
      </x:c>
      <x:c r="D4" s="10" t="s">
        <x:v>41</x:v>
      </x:c>
      <x:c r="E4" s="10" t="s">
        <x:v>39</x:v>
      </x:c>
      <x:c r="F4" s="10">
        <x:v>12</x:v>
      </x:c>
      <x:c r="G4" s="10">
        <x:v>6</x:v>
      </x:c>
      <x:c r="H4" s="10" t="s">
        <x:v>40</x:v>
      </x:c>
      <x:c r="I4" s="10">
        <x:v>3</x:v>
      </x:c>
      <x:c r="J4" s="10">
        <x:v>3</x:v>
      </x:c>
      <x:c r="K4" s="10" t="s">
        <x:v>42</x:v>
      </x:c>
      <x:c r="L4" s="10" t="s">
        <x:v>43</x:v>
      </x:c>
      <x:c r="M4" s="10" t="s">
        <x:v>44</x:v>
      </x:c>
      <x:c r="N4" s="10" t="s">
        <x:v>702</x:v>
      </x:c>
      <x:c r="O4" s="10" t="s">
        <x:v>703</x:v>
      </x:c>
      <x:c r="P4" s="10" t="s">
        <x:v>704</x:v>
      </x:c>
      <x:c r="Q4" s="10" t="s">
        <x:v>705</x:v>
      </x:c>
      <x:c r="R4" s="10" t="s">
        <x:v>706</x:v>
      </x:c>
      <x:c r="S4" s="10" t="s">
        <x:v>707</x:v>
      </x:c>
      <x:c r="T4" s="10" t="s">
        <x:v>707</x:v>
      </x:c>
      <x:c r="U4" s="10" t="s">
        <x:v>708</x:v>
      </x:c>
      <x:c r="V4" s="10" t="s">
        <x:v>709</x:v>
      </x:c>
      <x:c r="W4" s="10" t="s">
        <x:v>707</x:v>
      </x:c>
      <x:c r="X4" s="10" t="s">
        <x:v>45</x:v>
      </x:c>
    </x:row>
    <x:row r="5" ht="42">
      <x:c r="A5" s="11" t="s">
        <x:v>48</x:v>
      </x:c>
      <x:c r="B5" s="11" t="s">
        <x:v>710</x:v>
      </x:c>
      <x:c r="C5" s="11" t="s">
        <x:v>47</x:v>
      </x:c>
      <x:c r="D5" s="11" t="s">
        <x:v>48</x:v>
      </x:c>
      <x:c r="E5" s="11" t="s">
        <x:v>49</x:v>
      </x:c>
      <x:c r="F5" s="11">
        <x:v>8</x:v>
      </x:c>
      <x:c r="G5" s="11">
        <x:v>6</x:v>
      </x:c>
      <x:c r="H5" s="11" t="s">
        <x:v>50</x:v>
      </x:c>
      <x:c r="I5" s="11">
        <x:v>3</x:v>
      </x:c>
      <x:c r="J5" s="11">
        <x:v>3</x:v>
      </x:c>
      <x:c r="K5" s="11" t="s">
        <x:v>42</x:v>
      </x:c>
      <x:c r="L5" s="11" t="s">
        <x:v>43</x:v>
      </x:c>
      <x:c r="M5" s="11" t="s">
        <x:v>44</x:v>
      </x:c>
      <x:c r="N5" s="11" t="s">
        <x:v>702</x:v>
      </x:c>
      <x:c r="O5" s="11" t="s">
        <x:v>703</x:v>
      </x:c>
      <x:c r="P5" s="11" t="s">
        <x:v>711</x:v>
      </x:c>
      <x:c r="Q5" s="11" t="s">
        <x:v>712</x:v>
      </x:c>
      <x:c r="R5" s="11" t="s">
        <x:v>713</x:v>
      </x:c>
      <x:c r="S5" s="11" t="s">
        <x:v>707</x:v>
      </x:c>
      <x:c r="T5" s="11" t="s">
        <x:v>707</x:v>
      </x:c>
      <x:c r="U5" s="11" t="s">
        <x:v>708</x:v>
      </x:c>
      <x:c r="V5" s="11" t="s">
        <x:v>709</x:v>
      </x:c>
      <x:c r="W5" s="11" t="s">
        <x:v>707</x:v>
      </x:c>
      <x:c r="X5" s="11" t="s">
        <x:v>45</x:v>
      </x:c>
    </x:row>
    <x:row r="6" ht="42">
      <x:c r="A6" s="10" t="s">
        <x:v>53</x:v>
      </x:c>
      <x:c r="B6" s="10" t="s">
        <x:v>714</x:v>
      </x:c>
      <x:c r="C6" s="10" t="s">
        <x:v>52</x:v>
      </x:c>
      <x:c r="D6" s="10" t="s">
        <x:v>53</x:v>
      </x:c>
      <x:c r="E6" s="10" t="s">
        <x:v>39</x:v>
      </x:c>
      <x:c r="F6" s="10">
        <x:v>16</x:v>
      </x:c>
      <x:c r="G6" s="10">
        <x:v>6</x:v>
      </x:c>
      <x:c r="H6" s="10" t="s">
        <x:v>54</x:v>
      </x:c>
      <x:c r="I6" s="10">
        <x:v>3</x:v>
      </x:c>
      <x:c r="J6" s="10">
        <x:v>3</x:v>
      </x:c>
      <x:c r="K6" s="10" t="s">
        <x:v>55</x:v>
      </x:c>
      <x:c r="L6" s="10" t="s">
        <x:v>56</x:v>
      </x:c>
      <x:c r="M6" s="10" t="s">
        <x:v>44</x:v>
      </x:c>
      <x:c r="N6" s="10" t="s">
        <x:v>702</x:v>
      </x:c>
      <x:c r="O6" s="10" t="s">
        <x:v>703</x:v>
      </x:c>
      <x:c r="P6" s="10" t="s">
        <x:v>715</x:v>
      </x:c>
      <x:c r="Q6" s="10" t="s">
        <x:v>716</x:v>
      </x:c>
      <x:c r="R6" s="10" t="s">
        <x:v>717</x:v>
      </x:c>
      <x:c r="S6" s="10" t="s">
        <x:v>707</x:v>
      </x:c>
      <x:c r="T6" s="10" t="s">
        <x:v>707</x:v>
      </x:c>
      <x:c r="U6" s="10" t="s">
        <x:v>708</x:v>
      </x:c>
      <x:c r="V6" s="10" t="s">
        <x:v>709</x:v>
      </x:c>
      <x:c r="W6" s="10" t="s">
        <x:v>707</x:v>
      </x:c>
      <x:c r="X6" s="10" t="s">
        <x:v>45</x:v>
      </x:c>
    </x:row>
    <x:row r="7" ht="42">
      <x:c r="A7" s="11" t="s">
        <x:v>59</x:v>
      </x:c>
      <x:c r="B7" s="11" t="s">
        <x:v>718</x:v>
      </x:c>
      <x:c r="C7" s="11" t="s">
        <x:v>58</x:v>
      </x:c>
      <x:c r="D7" s="11" t="s">
        <x:v>61</x:v>
      </x:c>
      <x:c r="E7" s="11" t="s">
        <x:v>49</x:v>
      </x:c>
      <x:c r="F7" s="11">
        <x:v>10</x:v>
      </x:c>
      <x:c r="G7" s="11">
        <x:v>6</x:v>
      </x:c>
      <x:c r="H7" s="11" t="s">
        <x:v>60</x:v>
      </x:c>
      <x:c r="I7" s="11">
        <x:v>3</x:v>
      </x:c>
      <x:c r="J7" s="11">
        <x:v>3</x:v>
      </x:c>
      <x:c r="K7" s="11" t="s">
        <x:v>42</x:v>
      </x:c>
      <x:c r="L7" s="11" t="s">
        <x:v>62</x:v>
      </x:c>
      <x:c r="M7" s="11" t="s">
        <x:v>44</x:v>
      </x:c>
      <x:c r="N7" s="11" t="s">
        <x:v>702</x:v>
      </x:c>
      <x:c r="O7" s="11" t="s">
        <x:v>703</x:v>
      </x:c>
      <x:c r="P7" s="11" t="s">
        <x:v>719</x:v>
      </x:c>
      <x:c r="Q7" s="11" t="s">
        <x:v>720</x:v>
      </x:c>
      <x:c r="R7" s="11" t="s">
        <x:v>721</x:v>
      </x:c>
      <x:c r="S7" s="11" t="s">
        <x:v>707</x:v>
      </x:c>
      <x:c r="T7" s="11" t="s">
        <x:v>707</x:v>
      </x:c>
      <x:c r="U7" s="11" t="s">
        <x:v>708</x:v>
      </x:c>
      <x:c r="V7" s="11" t="s">
        <x:v>709</x:v>
      </x:c>
      <x:c r="W7" s="11" t="s">
        <x:v>707</x:v>
      </x:c>
      <x:c r="X7" s="11" t="s">
        <x:v>45</x:v>
      </x:c>
    </x:row>
    <x:row r="8" ht="42">
      <x:c r="A8" s="10" t="s">
        <x:v>65</x:v>
      </x:c>
      <x:c r="B8" s="10" t="s">
        <x:v>722</x:v>
      </x:c>
      <x:c r="C8" s="10" t="s">
        <x:v>64</x:v>
      </x:c>
      <x:c r="D8" s="10" t="s">
        <x:v>66</x:v>
      </x:c>
      <x:c r="E8" s="10" t="s">
        <x:v>39</x:v>
      </x:c>
      <x:c r="F8" s="10">
        <x:v>10</x:v>
      </x:c>
      <x:c r="G8" s="10">
        <x:v>6</x:v>
      </x:c>
      <x:c r="H8" s="10" t="s">
        <x:v>60</x:v>
      </x:c>
      <x:c r="I8" s="10">
        <x:v>3</x:v>
      </x:c>
      <x:c r="J8" s="10">
        <x:v>3</x:v>
      </x:c>
      <x:c r="K8" s="10" t="s">
        <x:v>55</x:v>
      </x:c>
      <x:c r="L8" s="10" t="s">
        <x:v>43</x:v>
      </x:c>
      <x:c r="M8" s="10" t="s">
        <x:v>44</x:v>
      </x:c>
      <x:c r="N8" s="10" t="s">
        <x:v>702</x:v>
      </x:c>
      <x:c r="O8" s="10" t="s">
        <x:v>703</x:v>
      </x:c>
      <x:c r="P8" s="10" t="s">
        <x:v>723</x:v>
      </x:c>
      <x:c r="Q8" s="10" t="s">
        <x:v>724</x:v>
      </x:c>
      <x:c r="R8" s="10" t="s">
        <x:v>725</x:v>
      </x:c>
      <x:c r="S8" s="10" t="s">
        <x:v>707</x:v>
      </x:c>
      <x:c r="T8" s="10" t="s">
        <x:v>707</x:v>
      </x:c>
      <x:c r="U8" s="10" t="s">
        <x:v>708</x:v>
      </x:c>
      <x:c r="V8" s="10" t="s">
        <x:v>709</x:v>
      </x:c>
      <x:c r="W8" s="10" t="s">
        <x:v>707</x:v>
      </x:c>
      <x:c r="X8" s="10" t="s">
        <x:v>45</x:v>
      </x:c>
    </x:row>
    <x:row r="9" ht="42">
      <x:c r="A9" s="11" t="s">
        <x:v>69</x:v>
      </x:c>
      <x:c r="B9" s="11" t="s">
        <x:v>726</x:v>
      </x:c>
      <x:c r="C9" s="11" t="s">
        <x:v>68</x:v>
      </x:c>
      <x:c r="D9" s="11" t="s">
        <x:v>70</x:v>
      </x:c>
      <x:c r="E9" s="11" t="s">
        <x:v>49</x:v>
      </x:c>
      <x:c r="F9" s="11">
        <x:v>8</x:v>
      </x:c>
      <x:c r="G9" s="11">
        <x:v>6</x:v>
      </x:c>
      <x:c r="H9" s="11" t="s">
        <x:v>50</x:v>
      </x:c>
      <x:c r="I9" s="11">
        <x:v>3</x:v>
      </x:c>
      <x:c r="J9" s="11">
        <x:v>3</x:v>
      </x:c>
      <x:c r="K9" s="11" t="s">
        <x:v>42</x:v>
      </x:c>
      <x:c r="L9" s="11" t="s">
        <x:v>62</x:v>
      </x:c>
      <x:c r="M9" s="11" t="s">
        <x:v>44</x:v>
      </x:c>
      <x:c r="N9" s="11" t="s">
        <x:v>702</x:v>
      </x:c>
      <x:c r="O9" s="11" t="s">
        <x:v>703</x:v>
      </x:c>
      <x:c r="P9" s="11" t="s">
        <x:v>727</x:v>
      </x:c>
      <x:c r="Q9" s="11" t="s">
        <x:v>728</x:v>
      </x:c>
      <x:c r="R9" s="11" t="s">
        <x:v>729</x:v>
      </x:c>
      <x:c r="S9" s="11" t="s">
        <x:v>707</x:v>
      </x:c>
      <x:c r="T9" s="11" t="s">
        <x:v>707</x:v>
      </x:c>
      <x:c r="U9" s="11" t="s">
        <x:v>708</x:v>
      </x:c>
      <x:c r="V9" s="11" t="s">
        <x:v>709</x:v>
      </x:c>
      <x:c r="W9" s="11" t="s">
        <x:v>707</x:v>
      </x:c>
      <x:c r="X9" s="11" t="s">
        <x:v>45</x:v>
      </x:c>
    </x:row>
    <x:row r="10" ht="182">
      <x:c r="A10" s="10" t="s">
        <x:v>73</x:v>
      </x:c>
      <x:c r="B10" s="10" t="s">
        <x:v>730</x:v>
      </x:c>
      <x:c r="C10" s="10" t="s">
        <x:v>72</x:v>
      </x:c>
      <x:c r="D10" s="10" t="s">
        <x:v>53</x:v>
      </x:c>
      <x:c r="E10" s="10" t="s">
        <x:v>49</x:v>
      </x:c>
      <x:c r="F10" s="10">
        <x:v>20</x:v>
      </x:c>
      <x:c r="G10" s="10">
        <x:v>12</x:v>
      </x:c>
      <x:c r="H10" s="10" t="s">
        <x:v>74</x:v>
      </x:c>
      <x:c r="I10" s="10">
        <x:v>4</x:v>
      </x:c>
      <x:c r="J10" s="10">
        <x:v>5</x:v>
      </x:c>
      <x:c r="K10" s="10" t="s">
        <x:v>55</x:v>
      </x:c>
      <x:c r="L10" s="10" t="s">
        <x:v>43</x:v>
      </x:c>
      <x:c r="M10" s="10" t="s">
        <x:v>75</x:v>
      </x:c>
      <x:c r="N10" s="10" t="s">
        <x:v>731</x:v>
      </x:c>
      <x:c r="O10" s="10" t="s">
        <x:v>732</x:v>
      </x:c>
      <x:c r="P10" s="10" t="s">
        <x:v>733</x:v>
      </x:c>
      <x:c r="Q10" s="10" t="s">
        <x:v>734</x:v>
      </x:c>
      <x:c r="R10" s="10" t="s">
        <x:v>735</x:v>
      </x:c>
      <x:c r="S10" s="10" t="s">
        <x:v>736</x:v>
      </x:c>
      <x:c r="T10" s="10" t="s">
        <x:v>737</x:v>
      </x:c>
      <x:c r="U10" s="10" t="s">
        <x:v>738</x:v>
      </x:c>
      <x:c r="V10" s="10" t="s">
        <x:v>709</x:v>
      </x:c>
      <x:c r="W10" s="10" t="s">
        <x:v>739</x:v>
      </x:c>
      <x:c r="X10" s="10" t="s">
        <x:v>45</x:v>
      </x:c>
    </x:row>
    <x:row r="11" ht="140">
      <x:c r="A11" s="11" t="s">
        <x:v>78</x:v>
      </x:c>
      <x:c r="B11" s="11" t="s">
        <x:v>740</x:v>
      </x:c>
      <x:c r="C11" s="11" t="s">
        <x:v>77</x:v>
      </x:c>
      <x:c r="D11" s="11" t="s">
        <x:v>70</x:v>
      </x:c>
      <x:c r="E11" s="11" t="s">
        <x:v>49</x:v>
      </x:c>
      <x:c r="F11" s="11">
        <x:v>12</x:v>
      </x:c>
      <x:c r="G11" s="11">
        <x:v>6</x:v>
      </x:c>
      <x:c r="H11" s="11" t="s">
        <x:v>40</x:v>
      </x:c>
      <x:c r="I11" s="11">
        <x:v>5</x:v>
      </x:c>
      <x:c r="J11" s="11">
        <x:v>5</x:v>
      </x:c>
      <x:c r="K11" s="11" t="s">
        <x:v>55</x:v>
      </x:c>
      <x:c r="L11" s="11" t="s">
        <x:v>62</x:v>
      </x:c>
      <x:c r="M11" s="11" t="s">
        <x:v>44</x:v>
      </x:c>
      <x:c r="N11" s="11" t="s">
        <x:v>702</x:v>
      </x:c>
      <x:c r="O11" s="11" t="s">
        <x:v>741</x:v>
      </x:c>
      <x:c r="P11" s="11" t="s">
        <x:v>742</x:v>
      </x:c>
      <x:c r="Q11" s="11" t="s">
        <x:v>743</x:v>
      </x:c>
      <x:c r="R11" s="11" t="s">
        <x:v>744</x:v>
      </x:c>
      <x:c r="S11" s="11" t="s">
        <x:v>745</x:v>
      </x:c>
      <x:c r="T11" s="11" t="s">
        <x:v>746</x:v>
      </x:c>
      <x:c r="U11" s="11" t="s">
        <x:v>747</x:v>
      </x:c>
      <x:c r="V11" s="11" t="s">
        <x:v>709</x:v>
      </x:c>
      <x:c r="W11" s="11" t="s">
        <x:v>748</x:v>
      </x:c>
      <x:c r="X11" s="11" t="s">
        <x:v>45</x:v>
      </x:c>
    </x:row>
    <x:row r="12" ht="126">
      <x:c r="A12" s="10" t="s">
        <x:v>81</x:v>
      </x:c>
      <x:c r="B12" s="10" t="s">
        <x:v>749</x:v>
      </x:c>
      <x:c r="C12" s="10" t="s">
        <x:v>80</x:v>
      </x:c>
      <x:c r="D12" s="10" t="s">
        <x:v>41</x:v>
      </x:c>
      <x:c r="E12" s="10" t="s">
        <x:v>49</x:v>
      </x:c>
      <x:c r="F12" s="10">
        <x:v>14</x:v>
      </x:c>
      <x:c r="G12" s="10">
        <x:v>12</x:v>
      </x:c>
      <x:c r="H12" s="10" t="s">
        <x:v>82</x:v>
      </x:c>
      <x:c r="I12" s="10">
        <x:v>4</x:v>
      </x:c>
      <x:c r="J12" s="10">
        <x:v>5</x:v>
      </x:c>
      <x:c r="K12" s="10" t="s">
        <x:v>55</x:v>
      </x:c>
      <x:c r="L12" s="10" t="s">
        <x:v>43</x:v>
      </x:c>
      <x:c r="M12" s="10" t="s">
        <x:v>75</x:v>
      </x:c>
      <x:c r="N12" s="10" t="s">
        <x:v>702</x:v>
      </x:c>
      <x:c r="O12" s="10" t="s">
        <x:v>750</x:v>
      </x:c>
      <x:c r="P12" s="10" t="s">
        <x:v>751</x:v>
      </x:c>
      <x:c r="Q12" s="10" t="s">
        <x:v>752</x:v>
      </x:c>
      <x:c r="R12" s="10" t="s">
        <x:v>753</x:v>
      </x:c>
      <x:c r="S12" s="10" t="s">
        <x:v>754</x:v>
      </x:c>
      <x:c r="T12" s="10" t="s">
        <x:v>755</x:v>
      </x:c>
      <x:c r="U12" s="10" t="s">
        <x:v>756</x:v>
      </x:c>
      <x:c r="V12" s="10" t="s">
        <x:v>709</x:v>
      </x:c>
      <x:c r="W12" s="10" t="s">
        <x:v>757</x:v>
      </x:c>
      <x:c r="X12" s="10" t="s">
        <x:v>45</x:v>
      </x:c>
    </x:row>
  </x:sheetData>
  <x:mergeCells>
    <x:mergeCell ref="A1:X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8" hidden="0" customWidth="1"/>
    <x:col min="2" max="2" width="18" hidden="0" customWidth="1"/>
    <x:col min="3" max="3" width="36" hidden="0" customWidth="1"/>
    <x:col min="4" max="4" width="16" hidden="0" customWidth="1"/>
    <x:col min="5" max="5" width="18" hidden="0" customWidth="1"/>
    <x:col min="6" max="8" width="10" customWidth="1"/>
    <x:col min="9" max="9" width="34" hidden="0" customWidth="1"/>
    <x:col min="10" max="10" width="36" hidden="0" customWidth="1"/>
    <x:col min="11" max="11" width="18" hidden="0" customWidth="1"/>
    <x:col min="12" max="12" width="12" hidden="0" customWidth="1"/>
    <x:col min="13" max="13" width="18" hidden="0" customWidth="1"/>
    <x:col min="14" max="14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18" t="str">
        <x:v>網頁設定控制項鏡像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</x:row>
    <x:row r="2" ht="32" customHeight="1">
      <x:c r="A2" s="119" t="str">
        <x:v>共 76 項；包含詳細資源、LLM 隱私、三方動畫與固定導覽控制。瀏覽器執行時仍以 index.html/app.js 為準。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</x:row>
    <x:row r="3" ht="31" customHeight="1">
      <x:c r="A3" s="120" t="str">
        <x:v>setting_id</x:v>
      </x:c>
      <x:c r="B3" s="120" t="str">
        <x:v>section</x:v>
      </x:c>
      <x:c r="C3" s="120" t="str">
        <x:v>label</x:v>
      </x:c>
      <x:c r="D3" s="120" t="str">
        <x:v>control_type</x:v>
      </x:c>
      <x:c r="E3" s="120" t="str">
        <x:v>default_value</x:v>
      </x:c>
      <x:c r="F3" s="120" t="str">
        <x:v>min_value</x:v>
      </x:c>
      <x:c r="G3" s="120" t="str">
        <x:v>max_value</x:v>
      </x:c>
      <x:c r="H3" s="120" t="str">
        <x:v>step_value</x:v>
      </x:c>
      <x:c r="I3" s="120" t="str">
        <x:v>option_values_json</x:v>
      </x:c>
      <x:c r="J3" s="120" t="str">
        <x:v>option_labels_json</x:v>
      </x:c>
      <x:c r="K3" s="120" t="str">
        <x:v>disabled_by_default</x:v>
      </x:c>
      <x:c r="L3" s="120" t="str">
        <x:v>sensitive</x:v>
      </x:c>
      <x:c r="M3" s="120" t="str">
        <x:v>source_file</x:v>
      </x:c>
      <x:c r="N3" s="120" t="str">
        <x:v>note</x:v>
      </x:c>
    </x:row>
    <x:row r="4" ht="34" customHeight="1">
      <x:c r="A4" s="121" t="str">
        <x:v>importInput</x:v>
      </x:c>
      <x:c r="B4" s="121" t="str">
        <x:v>global</x:v>
      </x:c>
      <x:c r="C4" s="121" t="str">
        <x:v>匯入 JSON</x:v>
      </x:c>
      <x:c r="D4" s="121" t="str">
        <x:v>file</x:v>
      </x:c>
      <x:c r="E4" s="121" t="str"/>
      <x:c r="F4" s="121"/>
      <x:c r="G4" s="121"/>
      <x:c r="H4" s="121"/>
      <x:c r="I4" s="121" t="str">
        <x:v>[]</x:v>
      </x:c>
      <x:c r="J4" s="121" t="str">
        <x:v>[]</x:v>
      </x:c>
      <x:c r="K4" s="121" t="n">
        <x:v>0</x:v>
      </x:c>
      <x:c r="L4" s="121" t="n">
        <x:v>0</x:v>
      </x:c>
      <x:c r="M4" s="121" t="str">
        <x:v>index.html</x:v>
      </x:c>
      <x:c r="N4" s="121" t="str">
        <x:v>與目前介面控制項同步。</x:v>
      </x:c>
    </x:row>
    <x:row r="5" ht="34" customHeight="1">
      <x:c r="A5" s="122" t="str">
        <x:v>scenarioTemplate</x:v>
      </x:c>
      <x:c r="B5" s="122" t="str">
        <x:v>builder</x:v>
      </x:c>
      <x:c r="C5" s="122" t="str">
        <x:v>情境範本</x:v>
      </x:c>
      <x:c r="D5" s="122" t="str">
        <x:v>select</x:v>
      </x:c>
      <x:c r="E5" s="122" t="str">
        <x:v>blockade</x:v>
      </x:c>
      <x:c r="F5" s="122"/>
      <x:c r="G5" s="122"/>
      <x:c r="H5" s="122"/>
      <x:c r="I5" s="122" t="str">
        <x:v>["blockade","airdefense","logistics","grayzone","humanitarian","deescalation","csis_blackout_2025","csis_mit_nuclear_2024","cnas_policy_war"]</x:v>
      </x:c>
      <x:c r="J5" s="122" t="str">
        <x:v>["有限封控與商運壓力（預設）","多軸空情與分層防護","港口延誤與後勤韌性","灰色地帶與資訊迷霧","人道疏散與民事協調","危機降溫與外交窗口","CSIS《燈火管制》（2025）：封鎖與能源韌性","CSIS &amp; MIT（2024）：核升級風險","美國國會 × CNAS：彈藥與全球經濟衝擊"]</x:v>
      </x:c>
      <x:c r="K5" s="122" t="n">
        <x:v>0</x:v>
      </x:c>
      <x:c r="L5" s="122" t="n">
        <x:v>0</x:v>
      </x:c>
      <x:c r="M5" s="122" t="str">
        <x:v>index.html</x:v>
      </x:c>
      <x:c r="N5" s="122" t="str">
        <x:v>與目前介面控制項同步。</x:v>
      </x:c>
    </x:row>
    <x:row r="6" ht="34" customHeight="1">
      <x:c r="A6" s="121" t="str">
        <x:v>scenarioName</x:v>
      </x:c>
      <x:c r="B6" s="121" t="str">
        <x:v>builder</x:v>
      </x:c>
      <x:c r="C6" s="121" t="str">
        <x:v>想定名稱</x:v>
      </x:c>
      <x:c r="D6" s="121" t="str">
        <x:v>text</x:v>
      </x:c>
      <x:c r="E6" s="121" t="str">
        <x:v>海峽警戒與有限封控：72小時聯合決策演練</x:v>
      </x:c>
      <x:c r="F6" s="121"/>
      <x:c r="G6" s="121"/>
      <x:c r="H6" s="121"/>
      <x:c r="I6" s="121" t="str">
        <x:v>[]</x:v>
      </x:c>
      <x:c r="J6" s="121" t="str">
        <x:v>[]</x:v>
      </x:c>
      <x:c r="K6" s="121" t="n">
        <x:v>0</x:v>
      </x:c>
      <x:c r="L6" s="121" t="n">
        <x:v>0</x:v>
      </x:c>
      <x:c r="M6" s="121" t="str">
        <x:v>index.html</x:v>
      </x:c>
      <x:c r="N6" s="121" t="str">
        <x:v>與目前介面控制項同步。</x:v>
      </x:c>
    </x:row>
    <x:row r="7" ht="34" customHeight="1">
      <x:c r="A7" s="122" t="str">
        <x:v>scenarioSeed</x:v>
      </x:c>
      <x:c r="B7" s="122" t="str">
        <x:v>builder</x:v>
      </x:c>
      <x:c r="C7" s="122" t="str">
        <x:v>隨機種子</x:v>
      </x:c>
      <x:c r="D7" s="122" t="str">
        <x:v>number</x:v>
      </x:c>
      <x:c r="E7" s="122" t="str">
        <x:v>20260727</x:v>
      </x:c>
      <x:c r="F7" s="122" t="n">
        <x:v>1</x:v>
      </x:c>
      <x:c r="G7" s="122"/>
      <x:c r="H7" s="122"/>
      <x:c r="I7" s="122" t="str">
        <x:v>[]</x:v>
      </x:c>
      <x:c r="J7" s="122" t="str">
        <x:v>[]</x:v>
      </x:c>
      <x:c r="K7" s="122" t="n">
        <x:v>0</x:v>
      </x:c>
      <x:c r="L7" s="122" t="n">
        <x:v>0</x:v>
      </x:c>
      <x:c r="M7" s="122" t="str">
        <x:v>index.html</x:v>
      </x:c>
      <x:c r="N7" s="122" t="str">
        <x:v>與目前介面控制項同步。</x:v>
      </x:c>
    </x:row>
    <x:row r="8" ht="34" customHeight="1">
      <x:c r="A8" s="121" t="str">
        <x:v>focus</x:v>
      </x:c>
      <x:c r="B8" s="121" t="str">
        <x:v>builder</x:v>
      </x:c>
      <x:c r="C8" s="121" t="str">
        <x:v>推演重點</x:v>
      </x:c>
      <x:c r="D8" s="121" t="str">
        <x:v>select</x:v>
      </x:c>
      <x:c r="E8" s="121" t="str">
        <x:v>joint</x:v>
      </x:c>
      <x:c r="F8" s="121"/>
      <x:c r="G8" s="121"/>
      <x:c r="H8" s="121"/>
      <x:c r="I8" s="121" t="str">
        <x:v>["joint","airdefense","logistics","intelligence","civil","diplomacy"]</x:v>
      </x:c>
      <x:c r="J8" s="121" t="str">
        <x:v>["聯合決策與整體情勢","防空資源與預警","後勤持續性與修復","情報判讀與戰場迷霧","民事韌性與危機溝通","升級控制與外交協調"]</x:v>
      </x:c>
      <x:c r="K8" s="121" t="n">
        <x:v>0</x:v>
      </x:c>
      <x:c r="L8" s="121" t="n">
        <x:v>0</x:v>
      </x:c>
      <x:c r="M8" s="121" t="str">
        <x:v>index.html</x:v>
      </x:c>
      <x:c r="N8" s="121" t="str">
        <x:v>與目前介面控制項同步。</x:v>
      </x:c>
    </x:row>
    <x:row r="9" ht="34" customHeight="1">
      <x:c r="A9" s="122" t="str">
        <x:v>difficulty</x:v>
      </x:c>
      <x:c r="B9" s="122" t="str">
        <x:v>builder</x:v>
      </x:c>
      <x:c r="C9" s="122" t="str">
        <x:v>難度</x:v>
      </x:c>
      <x:c r="D9" s="122" t="str">
        <x:v>select</x:v>
      </x:c>
      <x:c r="E9" s="122" t="str">
        <x:v>standard</x:v>
      </x:c>
      <x:c r="F9" s="122"/>
      <x:c r="G9" s="122"/>
      <x:c r="H9" s="122"/>
      <x:c r="I9" s="122" t="str">
        <x:v>["intro","standard","advanced"]</x:v>
      </x:c>
      <x:c r="J9" s="122" t="str">
        <x:v>["基礎","標準","進階"]</x:v>
      </x:c>
      <x:c r="K9" s="122" t="n">
        <x:v>0</x:v>
      </x:c>
      <x:c r="L9" s="122" t="n">
        <x:v>0</x:v>
      </x:c>
      <x:c r="M9" s="122" t="str">
        <x:v>index.html</x:v>
      </x:c>
      <x:c r="N9" s="122" t="str">
        <x:v>與目前介面控制項同步。</x:v>
      </x:c>
    </x:row>
    <x:row r="10" ht="34" customHeight="1">
      <x:c r="A10" s="121" t="str">
        <x:v>turns</x:v>
      </x:c>
      <x:c r="B10" s="121" t="str">
        <x:v>builder</x:v>
      </x:c>
      <x:c r="C10" s="121" t="str">
        <x:v>回合數</x:v>
      </x:c>
      <x:c r="D10" s="121" t="str">
        <x:v>number</x:v>
      </x:c>
      <x:c r="E10" s="121" t="str">
        <x:v>12</x:v>
      </x:c>
      <x:c r="F10" s="121" t="n">
        <x:v>4</x:v>
      </x:c>
      <x:c r="G10" s="121" t="n">
        <x:v>24</x:v>
      </x:c>
      <x:c r="H10" s="121"/>
      <x:c r="I10" s="121" t="str">
        <x:v>[]</x:v>
      </x:c>
      <x:c r="J10" s="121" t="str">
        <x:v>[]</x:v>
      </x:c>
      <x:c r="K10" s="121" t="n">
        <x:v>0</x:v>
      </x:c>
      <x:c r="L10" s="121" t="n">
        <x:v>0</x:v>
      </x:c>
      <x:c r="M10" s="121" t="str">
        <x:v>index.html</x:v>
      </x:c>
      <x:c r="N10" s="121" t="str">
        <x:v>與目前介面控制項同步。</x:v>
      </x:c>
    </x:row>
    <x:row r="11" ht="34" customHeight="1">
      <x:c r="A11" s="122" t="str">
        <x:v>hoursPerTurn</x:v>
      </x:c>
      <x:c r="B11" s="122" t="str">
        <x:v>builder</x:v>
      </x:c>
      <x:c r="C11" s="122" t="str">
        <x:v>每回合時數</x:v>
      </x:c>
      <x:c r="D11" s="122" t="str">
        <x:v>select</x:v>
      </x:c>
      <x:c r="E11" s="122" t="str">
        <x:v>6</x:v>
      </x:c>
      <x:c r="F11" s="122"/>
      <x:c r="G11" s="122"/>
      <x:c r="H11" s="122"/>
      <x:c r="I11" s="122" t="str">
        <x:v>["3","6","12"]</x:v>
      </x:c>
      <x:c r="J11" s="122" t="str">
        <x:v>["3小時","6小時","12小時"]</x:v>
      </x:c>
      <x:c r="K11" s="122" t="n">
        <x:v>0</x:v>
      </x:c>
      <x:c r="L11" s="122" t="n">
        <x:v>0</x:v>
      </x:c>
      <x:c r="M11" s="122" t="str">
        <x:v>index.html</x:v>
      </x:c>
      <x:c r="N11" s="122" t="str">
        <x:v>與目前介面控制項同步。</x:v>
      </x:c>
    </x:row>
    <x:row r="12" ht="34" customHeight="1">
      <x:c r="A12" s="121" t="str">
        <x:v>uncertainty</x:v>
      </x:c>
      <x:c r="B12" s="121" t="str">
        <x:v>builder</x:v>
      </x:c>
      <x:c r="C12" s="121" t="str">
        <x:v>情報不確定度</x:v>
      </x:c>
      <x:c r="D12" s="121" t="str">
        <x:v>range</x:v>
      </x:c>
      <x:c r="E12" s="121" t="str">
        <x:v>3</x:v>
      </x:c>
      <x:c r="F12" s="121" t="n">
        <x:v>1</x:v>
      </x:c>
      <x:c r="G12" s="121" t="n">
        <x:v>5</x:v>
      </x:c>
      <x:c r="H12" s="121"/>
      <x:c r="I12" s="121" t="str">
        <x:v>[]</x:v>
      </x:c>
      <x:c r="J12" s="121" t="str">
        <x:v>[]</x:v>
      </x:c>
      <x:c r="K12" s="121" t="n">
        <x:v>0</x:v>
      </x:c>
      <x:c r="L12" s="121" t="n">
        <x:v>0</x:v>
      </x:c>
      <x:c r="M12" s="121" t="str">
        <x:v>index.html</x:v>
      </x:c>
      <x:c r="N12" s="121" t="str">
        <x:v>與目前介面控制項同步。</x:v>
      </x:c>
    </x:row>
    <x:row r="13" ht="34" customHeight="1">
      <x:c r="A13" s="122" t="str">
        <x:v>civilPressure</x:v>
      </x:c>
      <x:c r="B13" s="122" t="str">
        <x:v>builder</x:v>
      </x:c>
      <x:c r="C13" s="122" t="str">
        <x:v>民事壓力</x:v>
      </x:c>
      <x:c r="D13" s="122" t="str">
        <x:v>range</x:v>
      </x:c>
      <x:c r="E13" s="122" t="str">
        <x:v>3</x:v>
      </x:c>
      <x:c r="F13" s="122" t="n">
        <x:v>1</x:v>
      </x:c>
      <x:c r="G13" s="122" t="n">
        <x:v>5</x:v>
      </x:c>
      <x:c r="H13" s="122"/>
      <x:c r="I13" s="122" t="str">
        <x:v>[]</x:v>
      </x:c>
      <x:c r="J13" s="122" t="str">
        <x:v>[]</x:v>
      </x:c>
      <x:c r="K13" s="122" t="n">
        <x:v>0</x:v>
      </x:c>
      <x:c r="L13" s="122" t="n">
        <x:v>0</x:v>
      </x:c>
      <x:c r="M13" s="122" t="str">
        <x:v>index.html</x:v>
      </x:c>
      <x:c r="N13" s="122" t="str">
        <x:v>與目前介面控制項同步。</x:v>
      </x:c>
    </x:row>
    <x:row r="14" ht="34" customHeight="1">
      <x:c r="A14" s="121" t="str">
        <x:v>amberSupport</x:v>
      </x:c>
      <x:c r="B14" s="121" t="str">
        <x:v>builder</x:v>
      </x:c>
      <x:c r="C14" s="121" t="str">
        <x:v>美軍支援程度</x:v>
      </x:c>
      <x:c r="D14" s="121" t="str">
        <x:v>select</x:v>
      </x:c>
      <x:c r="E14" s="121" t="str">
        <x:v>indirect</x:v>
      </x:c>
      <x:c r="F14" s="121"/>
      <x:c r="G14" s="121"/>
      <x:c r="H14" s="121"/>
      <x:c r="I14" s="121" t="str">
        <x:v>["none","indirect","limited"]</x:v>
      </x:c>
      <x:c r="J14" s="121" t="str">
        <x:v>["不納入","間接支援：ISR、後勤、外交","有限海空存在與防護支援"]</x:v>
      </x:c>
      <x:c r="K14" s="121" t="n">
        <x:v>0</x:v>
      </x:c>
      <x:c r="L14" s="121" t="n">
        <x:v>0</x:v>
      </x:c>
      <x:c r="M14" s="121" t="str">
        <x:v>index.html</x:v>
      </x:c>
      <x:c r="N14" s="121" t="str">
        <x:v>與目前介面控制項同步。</x:v>
      </x:c>
    </x:row>
    <x:row r="15" ht="34" customHeight="1">
      <x:c r="A15" s="122" t="str">
        <x:v>weatherPreset</x:v>
      </x:c>
      <x:c r="B15" s="122" t="str">
        <x:v>builder</x:v>
      </x:c>
      <x:c r="C15" s="122" t="str">
        <x:v>初始天候</x:v>
      </x:c>
      <x:c r="D15" s="122" t="str">
        <x:v>select</x:v>
      </x:c>
      <x:c r="E15" s="122" t="str">
        <x:v>variable</x:v>
      </x:c>
      <x:c r="F15" s="122"/>
      <x:c r="G15" s="122"/>
      <x:c r="H15" s="122"/>
      <x:c r="I15" s="122" t="str">
        <x:v>["stable","variable","adverse"]</x:v>
      </x:c>
      <x:c r="J15" s="122" t="str">
        <x:v>["穩定","多變","不利"]</x:v>
      </x:c>
      <x:c r="K15" s="122" t="n">
        <x:v>0</x:v>
      </x:c>
      <x:c r="L15" s="122" t="n">
        <x:v>0</x:v>
      </x:c>
      <x:c r="M15" s="122" t="str">
        <x:v>index.html</x:v>
      </x:c>
      <x:c r="N15" s="122" t="str">
        <x:v>與目前介面控制項同步。</x:v>
      </x:c>
    </x:row>
    <x:row r="16" ht="34" customHeight="1">
      <x:c r="A16" s="121" t="str">
        <x:v>turnOrderMode</x:v>
      </x:c>
      <x:c r="B16" s="121" t="str">
        <x:v>builder</x:v>
      </x:c>
      <x:c r="C16" s="121" t="str">
        <x:v>回合行動順序</x:v>
      </x:c>
      <x:c r="D16" s="121" t="str">
        <x:v>select</x:v>
      </x:c>
      <x:c r="E16" s="121" t="str">
        <x:v>simultaneous</x:v>
      </x:c>
      <x:c r="F16" s="121"/>
      <x:c r="G16" s="121"/>
      <x:c r="H16" s="121"/>
      <x:c r="I16" s="121" t="str">
        <x:v>["simultaneous","red_first","alternating"]</x:v>
      </x:c>
      <x:c r="J16" s="121" t="str">
        <x:v>["同時密封提交（預設）","紅方先行","輪替先行"]</x:v>
      </x:c>
      <x:c r="K16" s="121" t="n">
        <x:v>0</x:v>
      </x:c>
      <x:c r="L16" s="121" t="n">
        <x:v>0</x:v>
      </x:c>
      <x:c r="M16" s="121" t="str">
        <x:v>index.html</x:v>
      </x:c>
      <x:c r="N16" s="121" t="str">
        <x:v>與目前介面控制項同步。</x:v>
      </x:c>
    </x:row>
    <x:row r="17" ht="34" customHeight="1">
      <x:c r="A17" s="122" t="str">
        <x:v>firstOrderVisibility</x:v>
      </x:c>
      <x:c r="B17" s="122" t="str">
        <x:v>builder</x:v>
      </x:c>
      <x:c r="C17" s="122" t="str">
        <x:v>先行命令是否公開</x:v>
      </x:c>
      <x:c r="D17" s="122" t="str">
        <x:v>select</x:v>
      </x:c>
      <x:c r="E17" s="122" t="str">
        <x:v>sealed</x:v>
      </x:c>
      <x:c r="F17" s="122"/>
      <x:c r="G17" s="122"/>
      <x:c r="H17" s="122"/>
      <x:c r="I17" s="122" t="str">
        <x:v>["sealed","public"]</x:v>
      </x:c>
      <x:c r="J17" s="122" t="str">
        <x:v>["不公開：只決定裁決順序","公開：後手可見先手行動"]</x:v>
      </x:c>
      <x:c r="K17" s="122" t="n">
        <x:v>1</x:v>
      </x:c>
      <x:c r="L17" s="122" t="n">
        <x:v>0</x:v>
      </x:c>
      <x:c r="M17" s="122" t="str">
        <x:v>index.html</x:v>
      </x:c>
      <x:c r="N17" s="122" t="str">
        <x:v>與目前介面控制項同步。</x:v>
      </x:c>
    </x:row>
    <x:row r="18" ht="34" customHeight="1">
      <x:c r="A18" s="121" t="str">
        <x:v>coercionMode</x:v>
      </x:c>
      <x:c r="B18" s="121" t="str">
        <x:v>builder</x:v>
      </x:c>
      <x:c r="C18" s="121" t="str">
        <x:v>封控／衝突型態</x:v>
      </x:c>
      <x:c r="D18" s="121" t="str">
        <x:v>select</x:v>
      </x:c>
      <x:c r="E18" s="121" t="str">
        <x:v>limited_blockade</x:v>
      </x:c>
      <x:c r="F18" s="121"/>
      <x:c r="G18" s="121"/>
      <x:c r="H18" s="121"/>
      <x:c r="I18" s="121" t="str">
        <x:v>["limited_blockade","law_enforcement_blockade","conventional_conflict","nuclear_escalation"]</x:v>
      </x:c>
      <x:c r="J18" s="121" t="str">
        <x:v>["有限封控","海警與海上民兵執法封控","傳統軍事衝突","核升級風險情境"]</x:v>
      </x:c>
      <x:c r="K18" s="121" t="n">
        <x:v>0</x:v>
      </x:c>
      <x:c r="L18" s="121" t="n">
        <x:v>0</x:v>
      </x:c>
      <x:c r="M18" s="121" t="str">
        <x:v>index.html</x:v>
      </x:c>
      <x:c r="N18" s="121" t="str">
        <x:v>與目前介面控制項同步。</x:v>
      </x:c>
    </x:row>
    <x:row r="19" ht="34" customHeight="1">
      <x:c r="A19" s="122" t="str">
        <x:v>energyReserveDays</x:v>
      </x:c>
      <x:c r="B19" s="122" t="str">
        <x:v>builder</x:v>
      </x:c>
      <x:c r="C19" s="122" t="str">
        <x:v>能源安全存量（天）</x:v>
      </x:c>
      <x:c r="D19" s="122" t="str">
        <x:v>number</x:v>
      </x:c>
      <x:c r="E19" s="122" t="str">
        <x:v>30</x:v>
      </x:c>
      <x:c r="F19" s="122" t="n">
        <x:v>0</x:v>
      </x:c>
      <x:c r="G19" s="122" t="n">
        <x:v>60</x:v>
      </x:c>
      <x:c r="H19" s="122"/>
      <x:c r="I19" s="122" t="str">
        <x:v>[]</x:v>
      </x:c>
      <x:c r="J19" s="122" t="str">
        <x:v>[]</x:v>
      </x:c>
      <x:c r="K19" s="122" t="n">
        <x:v>0</x:v>
      </x:c>
      <x:c r="L19" s="122" t="n">
        <x:v>0</x:v>
      </x:c>
      <x:c r="M19" s="122" t="str">
        <x:v>index.html</x:v>
      </x:c>
      <x:c r="N19" s="122" t="str">
        <x:v>與目前介面控制項同步。</x:v>
      </x:c>
    </x:row>
    <x:row r="20" ht="34" customHeight="1">
      <x:c r="A20" s="121" t="str">
        <x:v>residualPowerPct</x:v>
      </x:c>
      <x:c r="B20" s="121" t="str">
        <x:v>builder</x:v>
      </x:c>
      <x:c r="C20" s="121" t="str">
        <x:v>能源耗盡後電力（%）</x:v>
      </x:c>
      <x:c r="D20" s="121" t="str">
        <x:v>number</x:v>
      </x:c>
      <x:c r="E20" s="121" t="str">
        <x:v>80</x:v>
      </x:c>
      <x:c r="F20" s="121" t="n">
        <x:v>0</x:v>
      </x:c>
      <x:c r="G20" s="121" t="n">
        <x:v>100</x:v>
      </x:c>
      <x:c r="H20" s="121"/>
      <x:c r="I20" s="121" t="str">
        <x:v>[]</x:v>
      </x:c>
      <x:c r="J20" s="121" t="str">
        <x:v>[]</x:v>
      </x:c>
      <x:c r="K20" s="121" t="n">
        <x:v>0</x:v>
      </x:c>
      <x:c r="L20" s="121" t="n">
        <x:v>0</x:v>
      </x:c>
      <x:c r="M20" s="121" t="str">
        <x:v>index.html</x:v>
      </x:c>
      <x:c r="N20" s="121" t="str">
        <x:v>與目前介面控制項同步。</x:v>
      </x:c>
    </x:row>
    <x:row r="21" ht="34" customHeight="1">
      <x:c r="A21" s="122" t="str">
        <x:v>precisionStockpileDays</x:v>
      </x:c>
      <x:c r="B21" s="122" t="str">
        <x:v>builder</x:v>
      </x:c>
      <x:c r="C21" s="122" t="str">
        <x:v>遠程精準彈藥存量（天）</x:v>
      </x:c>
      <x:c r="D21" s="122" t="str">
        <x:v>number</x:v>
      </x:c>
      <x:c r="E21" s="122" t="str">
        <x:v>30</x:v>
      </x:c>
      <x:c r="F21" s="122" t="n">
        <x:v>0</x:v>
      </x:c>
      <x:c r="G21" s="122" t="n">
        <x:v>60</x:v>
      </x:c>
      <x:c r="H21" s="122"/>
      <x:c r="I21" s="122" t="str">
        <x:v>[]</x:v>
      </x:c>
      <x:c r="J21" s="122" t="str">
        <x:v>[]</x:v>
      </x:c>
      <x:c r="K21" s="122" t="n">
        <x:v>0</x:v>
      </x:c>
      <x:c r="L21" s="122" t="n">
        <x:v>0</x:v>
      </x:c>
      <x:c r="M21" s="122" t="str">
        <x:v>index.html</x:v>
      </x:c>
      <x:c r="N21" s="122" t="str">
        <x:v>與目前介面控制項同步。</x:v>
      </x:c>
    </x:row>
    <x:row r="22" ht="34" customHeight="1">
      <x:c r="A22" s="121" t="str">
        <x:v>nuclearStrikeCount</x:v>
      </x:c>
      <x:c r="B22" s="121" t="str">
        <x:v>builder</x:v>
      </x:c>
      <x:c r="C22" s="121" t="str">
        <x:v>戰術核攻擊次數（抽象）</x:v>
      </x:c>
      <x:c r="D22" s="121" t="str">
        <x:v>number</x:v>
      </x:c>
      <x:c r="E22" s="121" t="str">
        <x:v>0</x:v>
      </x:c>
      <x:c r="F22" s="121" t="n">
        <x:v>0</x:v>
      </x:c>
      <x:c r="G22" s="121" t="n">
        <x:v>20</x:v>
      </x:c>
      <x:c r="H22" s="121"/>
      <x:c r="I22" s="121" t="str">
        <x:v>[]</x:v>
      </x:c>
      <x:c r="J22" s="121" t="str">
        <x:v>[]</x:v>
      </x:c>
      <x:c r="K22" s="121" t="n">
        <x:v>0</x:v>
      </x:c>
      <x:c r="L22" s="121" t="n">
        <x:v>0</x:v>
      </x:c>
      <x:c r="M22" s="121" t="str">
        <x:v>index.html</x:v>
      </x:c>
      <x:c r="N22" s="121" t="str">
        <x:v>與目前介面控制項同步。</x:v>
      </x:c>
    </x:row>
    <x:row r="23" ht="34" customHeight="1">
      <x:c r="A23" s="122" t="str">
        <x:v>globalEconomicShock</x:v>
      </x:c>
      <x:c r="B23" s="122" t="str">
        <x:v>builder</x:v>
      </x:c>
      <x:c r="C23" s="122" t="str">
        <x:v>全球經濟衝擊（1–5）</x:v>
      </x:c>
      <x:c r="D23" s="122" t="str">
        <x:v>number</x:v>
      </x:c>
      <x:c r="E23" s="122" t="str">
        <x:v>1</x:v>
      </x:c>
      <x:c r="F23" s="122" t="n">
        <x:v>1</x:v>
      </x:c>
      <x:c r="G23" s="122" t="n">
        <x:v>5</x:v>
      </x:c>
      <x:c r="H23" s="122"/>
      <x:c r="I23" s="122" t="str">
        <x:v>[]</x:v>
      </x:c>
      <x:c r="J23" s="122" t="str">
        <x:v>[]</x:v>
      </x:c>
      <x:c r="K23" s="122" t="n">
        <x:v>0</x:v>
      </x:c>
      <x:c r="L23" s="122" t="n">
        <x:v>0</x:v>
      </x:c>
      <x:c r="M23" s="122" t="str">
        <x:v>index.html</x:v>
      </x:c>
      <x:c r="N23" s="122" t="str">
        <x:v>與目前介面控制項同步。</x:v>
      </x:c>
    </x:row>
    <x:row r="24" ht="34" customHeight="1">
      <x:c r="A24" s="121" t="str">
        <x:v>blueAircraft</x:v>
      </x:c>
      <x:c r="B24" s="121" t="str">
        <x:v>builder</x:v>
      </x:c>
      <x:c r="C24" s="121" t="str">
        <x:v>藍方可用航空架次</x:v>
      </x:c>
      <x:c r="D24" s="121" t="str">
        <x:v>number</x:v>
      </x:c>
      <x:c r="E24" s="121" t="str">
        <x:v>48</x:v>
      </x:c>
      <x:c r="F24" s="121" t="n">
        <x:v>0</x:v>
      </x:c>
      <x:c r="G24" s="121" t="n">
        <x:v>240</x:v>
      </x:c>
      <x:c r="H24" s="121"/>
      <x:c r="I24" s="121" t="str">
        <x:v>[]</x:v>
      </x:c>
      <x:c r="J24" s="121" t="str">
        <x:v>[]</x:v>
      </x:c>
      <x:c r="K24" s="121" t="n">
        <x:v>0</x:v>
      </x:c>
      <x:c r="L24" s="121" t="n">
        <x:v>0</x:v>
      </x:c>
      <x:c r="M24" s="121" t="str">
        <x:v>index.html</x:v>
      </x:c>
      <x:c r="N24" s="121" t="str">
        <x:v>與目前介面控制項同步。</x:v>
      </x:c>
    </x:row>
    <x:row r="25" ht="34" customHeight="1">
      <x:c r="A25" s="122" t="str">
        <x:v>blueInterceptors</x:v>
      </x:c>
      <x:c r="B25" s="122" t="str">
        <x:v>builder</x:v>
      </x:c>
      <x:c r="C25" s="122" t="str">
        <x:v>藍方攔截彈庫存</x:v>
      </x:c>
      <x:c r="D25" s="122" t="str">
        <x:v>number</x:v>
      </x:c>
      <x:c r="E25" s="122" t="str">
        <x:v>160</x:v>
      </x:c>
      <x:c r="F25" s="122" t="n">
        <x:v>0</x:v>
      </x:c>
      <x:c r="G25" s="122" t="n">
        <x:v>600</x:v>
      </x:c>
      <x:c r="H25" s="122"/>
      <x:c r="I25" s="122" t="str">
        <x:v>[]</x:v>
      </x:c>
      <x:c r="J25" s="122" t="str">
        <x:v>[]</x:v>
      </x:c>
      <x:c r="K25" s="122" t="n">
        <x:v>0</x:v>
      </x:c>
      <x:c r="L25" s="122" t="n">
        <x:v>0</x:v>
      </x:c>
      <x:c r="M25" s="122" t="str">
        <x:v>index.html</x:v>
      </x:c>
      <x:c r="N25" s="122" t="str">
        <x:v>與目前介面控制項同步。</x:v>
      </x:c>
    </x:row>
    <x:row r="26" ht="34" customHeight="1">
      <x:c r="A26" s="121" t="str">
        <x:v>blueVessels</x:v>
      </x:c>
      <x:c r="B26" s="121" t="str">
        <x:v>builder</x:v>
      </x:c>
      <x:c r="C26" s="121" t="str">
        <x:v>藍方海上巡防平台</x:v>
      </x:c>
      <x:c r="D26" s="121" t="str">
        <x:v>number</x:v>
      </x:c>
      <x:c r="E26" s="121" t="str">
        <x:v>14</x:v>
      </x:c>
      <x:c r="F26" s="121" t="n">
        <x:v>0</x:v>
      </x:c>
      <x:c r="G26" s="121" t="n">
        <x:v>80</x:v>
      </x:c>
      <x:c r="H26" s="121"/>
      <x:c r="I26" s="121" t="str">
        <x:v>[]</x:v>
      </x:c>
      <x:c r="J26" s="121" t="str">
        <x:v>[]</x:v>
      </x:c>
      <x:c r="K26" s="121" t="n">
        <x:v>0</x:v>
      </x:c>
      <x:c r="L26" s="121" t="n">
        <x:v>0</x:v>
      </x:c>
      <x:c r="M26" s="121" t="str">
        <x:v>index.html</x:v>
      </x:c>
      <x:c r="N26" s="121" t="str">
        <x:v>與目前介面控制項同步。</x:v>
      </x:c>
    </x:row>
    <x:row r="27" ht="34" customHeight="1">
      <x:c r="A27" s="122" t="str">
        <x:v>blueLogistics</x:v>
      </x:c>
      <x:c r="B27" s="122" t="str">
        <x:v>builder</x:v>
      </x:c>
      <x:c r="C27" s="122" t="str">
        <x:v>藍方後勤補給批次</x:v>
      </x:c>
      <x:c r="D27" s="122" t="str">
        <x:v>number</x:v>
      </x:c>
      <x:c r="E27" s="122" t="str">
        <x:v>72</x:v>
      </x:c>
      <x:c r="F27" s="122" t="n">
        <x:v>0</x:v>
      </x:c>
      <x:c r="G27" s="122" t="n">
        <x:v>240</x:v>
      </x:c>
      <x:c r="H27" s="122"/>
      <x:c r="I27" s="122" t="str">
        <x:v>[]</x:v>
      </x:c>
      <x:c r="J27" s="122" t="str">
        <x:v>[]</x:v>
      </x:c>
      <x:c r="K27" s="122" t="n">
        <x:v>0</x:v>
      </x:c>
      <x:c r="L27" s="122" t="n">
        <x:v>0</x:v>
      </x:c>
      <x:c r="M27" s="122" t="str">
        <x:v>index.html</x:v>
      </x:c>
      <x:c r="N27" s="122" t="str">
        <x:v>與目前介面控制項同步。</x:v>
      </x:c>
    </x:row>
    <x:row r="28" ht="34" customHeight="1">
      <x:c r="A28" s="121" t="str">
        <x:v>blueDrones</x:v>
      </x:c>
      <x:c r="B28" s="121" t="str">
        <x:v>builder</x:v>
      </x:c>
      <x:c r="C28" s="121" t="str">
        <x:v>藍方無人機任務批次</x:v>
      </x:c>
      <x:c r="D28" s="121" t="str">
        <x:v>number</x:v>
      </x:c>
      <x:c r="E28" s="121" t="str">
        <x:v>120</x:v>
      </x:c>
      <x:c r="F28" s="121" t="n">
        <x:v>0</x:v>
      </x:c>
      <x:c r="G28" s="121" t="n">
        <x:v>1000</x:v>
      </x:c>
      <x:c r="H28" s="121"/>
      <x:c r="I28" s="121" t="str">
        <x:v>[]</x:v>
      </x:c>
      <x:c r="J28" s="121" t="str">
        <x:v>[]</x:v>
      </x:c>
      <x:c r="K28" s="121" t="n">
        <x:v>0</x:v>
      </x:c>
      <x:c r="L28" s="121" t="n">
        <x:v>0</x:v>
      </x:c>
      <x:c r="M28" s="121" t="str">
        <x:v>index.html</x:v>
      </x:c>
      <x:c r="N28" s="121" t="str">
        <x:v>與目前介面控制項同步。</x:v>
      </x:c>
    </x:row>
    <x:row r="29" ht="34" customHeight="1">
      <x:c r="A29" s="122" t="str">
        <x:v>starlinkNodes</x:v>
      </x:c>
      <x:c r="B29" s="122" t="str">
        <x:v>builder</x:v>
      </x:c>
      <x:c r="C29" s="122" t="str">
        <x:v>星鏈備援通訊節點</x:v>
      </x:c>
      <x:c r="D29" s="122" t="str">
        <x:v>number</x:v>
      </x:c>
      <x:c r="E29" s="122" t="str">
        <x:v>24</x:v>
      </x:c>
      <x:c r="F29" s="122" t="n">
        <x:v>0</x:v>
      </x:c>
      <x:c r="G29" s="122" t="n">
        <x:v>200</x:v>
      </x:c>
      <x:c r="H29" s="122"/>
      <x:c r="I29" s="122" t="str">
        <x:v>[]</x:v>
      </x:c>
      <x:c r="J29" s="122" t="str">
        <x:v>[]</x:v>
      </x:c>
      <x:c r="K29" s="122" t="n">
        <x:v>0</x:v>
      </x:c>
      <x:c r="L29" s="122" t="n">
        <x:v>0</x:v>
      </x:c>
      <x:c r="M29" s="122" t="str">
        <x:v>index.html</x:v>
      </x:c>
      <x:c r="N29" s="122" t="str">
        <x:v>與目前介面控制項同步。</x:v>
      </x:c>
    </x:row>
    <x:row r="30" ht="34" customHeight="1">
      <x:c r="A30" s="121" t="str">
        <x:v>highAltitudePlatforms</x:v>
      </x:c>
      <x:c r="B30" s="121" t="str">
        <x:v>builder</x:v>
      </x:c>
      <x:c r="C30" s="121" t="str">
        <x:v>高空通訊平臺</x:v>
      </x:c>
      <x:c r="D30" s="121" t="str">
        <x:v>number</x:v>
      </x:c>
      <x:c r="E30" s="121" t="str">
        <x:v>6</x:v>
      </x:c>
      <x:c r="F30" s="121" t="n">
        <x:v>0</x:v>
      </x:c>
      <x:c r="G30" s="121" t="n">
        <x:v>50</x:v>
      </x:c>
      <x:c r="H30" s="121"/>
      <x:c r="I30" s="121" t="str">
        <x:v>[]</x:v>
      </x:c>
      <x:c r="J30" s="121" t="str">
        <x:v>[]</x:v>
      </x:c>
      <x:c r="K30" s="121" t="n">
        <x:v>0</x:v>
      </x:c>
      <x:c r="L30" s="121" t="n">
        <x:v>0</x:v>
      </x:c>
      <x:c r="M30" s="121" t="str">
        <x:v>index.html</x:v>
      </x:c>
      <x:c r="N30" s="121" t="str">
        <x:v>與目前介面控制項同步。</x:v>
      </x:c>
    </x:row>
    <x:row r="31" ht="34" customHeight="1">
      <x:c r="A31" s="122" t="str">
        <x:v>redAircraft</x:v>
      </x:c>
      <x:c r="B31" s="122" t="str">
        <x:v>builder</x:v>
      </x:c>
      <x:c r="C31" s="122" t="str">
        <x:v>紅方航空架次</x:v>
      </x:c>
      <x:c r="D31" s="122" t="str">
        <x:v>number</x:v>
      </x:c>
      <x:c r="E31" s="122" t="str">
        <x:v>96</x:v>
      </x:c>
      <x:c r="F31" s="122" t="n">
        <x:v>0</x:v>
      </x:c>
      <x:c r="G31" s="122" t="n">
        <x:v>360</x:v>
      </x:c>
      <x:c r="H31" s="122"/>
      <x:c r="I31" s="122" t="str">
        <x:v>[]</x:v>
      </x:c>
      <x:c r="J31" s="122" t="str">
        <x:v>[]</x:v>
      </x:c>
      <x:c r="K31" s="122" t="n">
        <x:v>0</x:v>
      </x:c>
      <x:c r="L31" s="122" t="n">
        <x:v>0</x:v>
      </x:c>
      <x:c r="M31" s="122" t="str">
        <x:v>index.html</x:v>
      </x:c>
      <x:c r="N31" s="122" t="str">
        <x:v>與目前介面控制項同步。</x:v>
      </x:c>
    </x:row>
    <x:row r="32" ht="34" customHeight="1">
      <x:c r="A32" s="121" t="str">
        <x:v>redIncoming</x:v>
      </x:c>
      <x:c r="B32" s="121" t="str">
        <x:v>builder</x:v>
      </x:c>
      <x:c r="C32" s="121" t="str">
        <x:v>紅方合成來襲目標</x:v>
      </x:c>
      <x:c r="D32" s="121" t="str">
        <x:v>number</x:v>
      </x:c>
      <x:c r="E32" s="121" t="str">
        <x:v>180</x:v>
      </x:c>
      <x:c r="F32" s="121" t="n">
        <x:v>0</x:v>
      </x:c>
      <x:c r="G32" s="121" t="n">
        <x:v>600</x:v>
      </x:c>
      <x:c r="H32" s="121"/>
      <x:c r="I32" s="121" t="str">
        <x:v>[]</x:v>
      </x:c>
      <x:c r="J32" s="121" t="str">
        <x:v>[]</x:v>
      </x:c>
      <x:c r="K32" s="121" t="n">
        <x:v>0</x:v>
      </x:c>
      <x:c r="L32" s="121" t="n">
        <x:v>0</x:v>
      </x:c>
      <x:c r="M32" s="121" t="str">
        <x:v>index.html</x:v>
      </x:c>
      <x:c r="N32" s="121" t="str">
        <x:v>與目前介面控制項同步。</x:v>
      </x:c>
    </x:row>
    <x:row r="33" ht="34" customHeight="1">
      <x:c r="A33" s="122" t="str">
        <x:v>redVessels</x:v>
      </x:c>
      <x:c r="B33" s="122" t="str">
        <x:v>builder</x:v>
      </x:c>
      <x:c r="C33" s="122" t="str">
        <x:v>紅方海上平台</x:v>
      </x:c>
      <x:c r="D33" s="122" t="str">
        <x:v>number</x:v>
      </x:c>
      <x:c r="E33" s="122" t="str">
        <x:v>24</x:v>
      </x:c>
      <x:c r="F33" s="122" t="n">
        <x:v>0</x:v>
      </x:c>
      <x:c r="G33" s="122" t="n">
        <x:v>100</x:v>
      </x:c>
      <x:c r="H33" s="122"/>
      <x:c r="I33" s="122" t="str">
        <x:v>[]</x:v>
      </x:c>
      <x:c r="J33" s="122" t="str">
        <x:v>[]</x:v>
      </x:c>
      <x:c r="K33" s="122" t="n">
        <x:v>0</x:v>
      </x:c>
      <x:c r="L33" s="122" t="n">
        <x:v>0</x:v>
      </x:c>
      <x:c r="M33" s="122" t="str">
        <x:v>index.html</x:v>
      </x:c>
      <x:c r="N33" s="122" t="str">
        <x:v>與目前介面控制項同步。</x:v>
      </x:c>
    </x:row>
    <x:row r="34" ht="34" customHeight="1">
      <x:c r="A34" s="121" t="str">
        <x:v>redLogistics</x:v>
      </x:c>
      <x:c r="B34" s="121" t="str">
        <x:v>builder</x:v>
      </x:c>
      <x:c r="C34" s="121" t="str">
        <x:v>紅方後勤補給批次</x:v>
      </x:c>
      <x:c r="D34" s="121" t="str">
        <x:v>number</x:v>
      </x:c>
      <x:c r="E34" s="121" t="str">
        <x:v>84</x:v>
      </x:c>
      <x:c r="F34" s="121" t="n">
        <x:v>0</x:v>
      </x:c>
      <x:c r="G34" s="121" t="n">
        <x:v>240</x:v>
      </x:c>
      <x:c r="H34" s="121"/>
      <x:c r="I34" s="121" t="str">
        <x:v>[]</x:v>
      </x:c>
      <x:c r="J34" s="121" t="str">
        <x:v>[]</x:v>
      </x:c>
      <x:c r="K34" s="121" t="n">
        <x:v>0</x:v>
      </x:c>
      <x:c r="L34" s="121" t="n">
        <x:v>0</x:v>
      </x:c>
      <x:c r="M34" s="121" t="str">
        <x:v>index.html</x:v>
      </x:c>
      <x:c r="N34" s="121" t="str">
        <x:v>與目前介面控制項同步。</x:v>
      </x:c>
    </x:row>
    <x:row r="35" ht="34" customHeight="1">
      <x:c r="A35" s="122" t="str">
        <x:v>teacherConstraints</x:v>
      </x:c>
      <x:c r="B35" s="122" t="str">
        <x:v>builder</x:v>
      </x:c>
      <x:c r="C35" s="122" t="str">
        <x:v>補充限制</x:v>
      </x:c>
      <x:c r="D35" s="122" t="str">
        <x:v>textarea</x:v>
      </x:c>
      <x:c r="E35" s="122" t="str">
        <x:v>避免升高衝突；需保留後續回合資源；納入商船、人道與資訊環境。</x:v>
      </x:c>
      <x:c r="F35" s="122"/>
      <x:c r="G35" s="122"/>
      <x:c r="H35" s="122"/>
      <x:c r="I35" s="122" t="str">
        <x:v>[]</x:v>
      </x:c>
      <x:c r="J35" s="122" t="str">
        <x:v>[]</x:v>
      </x:c>
      <x:c r="K35" s="122" t="n">
        <x:v>0</x:v>
      </x:c>
      <x:c r="L35" s="122" t="n">
        <x:v>0</x:v>
      </x:c>
      <x:c r="M35" s="122" t="str">
        <x:v>index.html</x:v>
      </x:c>
      <x:c r="N35" s="122" t="str">
        <x:v>與目前介面控制項同步。</x:v>
      </x:c>
    </x:row>
    <x:row r="36" ht="34" customHeight="1">
      <x:c r="A36" s="121" t="str">
        <x:v>llmProvider</x:v>
      </x:c>
      <x:c r="B36" s="121" t="str">
        <x:v>builder</x:v>
      </x:c>
      <x:c r="C36" s="121" t="str">
        <x:v>供應商</x:v>
      </x:c>
      <x:c r="D36" s="121" t="str">
        <x:v>select</x:v>
      </x:c>
      <x:c r="E36" s="121" t="str">
        <x:v>gemini</x:v>
      </x:c>
      <x:c r="F36" s="121"/>
      <x:c r="G36" s="121"/>
      <x:c r="H36" s="121"/>
      <x:c r="I36" s="121" t="str">
        <x:v>["gemini","openai","claude","cgu"]</x:v>
      </x:c>
      <x:c r="J36" s="121" t="str">
        <x:v>["Google Gemini","OpenAI","Anthropic Claude","CGU／相容 API"]</x:v>
      </x:c>
      <x:c r="K36" s="121" t="n">
        <x:v>0</x:v>
      </x:c>
      <x:c r="L36" s="121" t="n">
        <x:v>0</x:v>
      </x:c>
      <x:c r="M36" s="121" t="str">
        <x:v>index.html</x:v>
      </x:c>
      <x:c r="N36" s="121" t="str">
        <x:v>與目前介面控制項同步。</x:v>
      </x:c>
    </x:row>
    <x:row r="37" ht="34" customHeight="1">
      <x:c r="A37" s="122" t="str">
        <x:v>llmModel</x:v>
      </x:c>
      <x:c r="B37" s="122" t="str">
        <x:v>builder</x:v>
      </x:c>
      <x:c r="C37" s="122" t="str">
        <x:v>模型名稱</x:v>
      </x:c>
      <x:c r="D37" s="122" t="str">
        <x:v>text</x:v>
      </x:c>
      <x:c r="E37" s="122" t="str">
        <x:v>gemini-3.5-flash</x:v>
      </x:c>
      <x:c r="F37" s="122"/>
      <x:c r="G37" s="122"/>
      <x:c r="H37" s="122"/>
      <x:c r="I37" s="122" t="str">
        <x:v>[]</x:v>
      </x:c>
      <x:c r="J37" s="122" t="str">
        <x:v>[]</x:v>
      </x:c>
      <x:c r="K37" s="122" t="n">
        <x:v>0</x:v>
      </x:c>
      <x:c r="L37" s="122" t="n">
        <x:v>0</x:v>
      </x:c>
      <x:c r="M37" s="122" t="str">
        <x:v>index.html</x:v>
      </x:c>
      <x:c r="N37" s="122" t="str">
        <x:v>與目前介面控制項同步。</x:v>
      </x:c>
    </x:row>
    <x:row r="38" ht="34" customHeight="1">
      <x:c r="A38" s="121" t="str">
        <x:v>llmReasoning</x:v>
      </x:c>
      <x:c r="B38" s="121" t="str">
        <x:v>builder</x:v>
      </x:c>
      <x:c r="C38" s="121" t="str">
        <x:v>思考力度</x:v>
      </x:c>
      <x:c r="D38" s="121" t="str">
        <x:v>select</x:v>
      </x:c>
      <x:c r="E38" s="121" t="str">
        <x:v>low</x:v>
      </x:c>
      <x:c r="F38" s="121"/>
      <x:c r="G38" s="121"/>
      <x:c r="H38" s="121"/>
      <x:c r="I38" s="121" t="str">
        <x:v>["minimal","low","medium","high"]</x:v>
      </x:c>
      <x:c r="J38" s="121" t="str">
        <x:v>["最小","低","中","高"]</x:v>
      </x:c>
      <x:c r="K38" s="121" t="n">
        <x:v>0</x:v>
      </x:c>
      <x:c r="L38" s="121" t="n">
        <x:v>0</x:v>
      </x:c>
      <x:c r="M38" s="121" t="str">
        <x:v>index.html</x:v>
      </x:c>
      <x:c r="N38" s="121" t="str">
        <x:v>與目前介面控制項同步。</x:v>
      </x:c>
    </x:row>
    <x:row r="39" ht="34" customHeight="1">
      <x:c r="A39" s="122" t="str">
        <x:v>llmApiKey</x:v>
      </x:c>
      <x:c r="B39" s="122" t="str">
        <x:v>builder</x:v>
      </x:c>
      <x:c r="C39" s="122" t="str">
        <x:v>API Key</x:v>
      </x:c>
      <x:c r="D39" s="122" t="str">
        <x:v>password</x:v>
      </x:c>
      <x:c r="E39" s="122" t="str"/>
      <x:c r="F39" s="122"/>
      <x:c r="G39" s="122"/>
      <x:c r="H39" s="122"/>
      <x:c r="I39" s="122" t="str">
        <x:v>[]</x:v>
      </x:c>
      <x:c r="J39" s="122" t="str">
        <x:v>[]</x:v>
      </x:c>
      <x:c r="K39" s="122" t="n">
        <x:v>0</x:v>
      </x:c>
      <x:c r="L39" s="122" t="n">
        <x:v>1</x:v>
      </x:c>
      <x:c r="M39" s="122" t="str">
        <x:v>index.html</x:v>
      </x:c>
      <x:c r="N39" s="122" t="str">
        <x:v>僅保存空白預設；實際金鑰不得寫入資料庫。</x:v>
      </x:c>
    </x:row>
    <x:row r="40" ht="34" customHeight="1">
      <x:c r="A40" s="121" t="str">
        <x:v>llmEndpoint</x:v>
      </x:c>
      <x:c r="B40" s="121" t="str">
        <x:v>builder</x:v>
      </x:c>
      <x:c r="C40" s="121" t="str">
        <x:v>API Endpoint</x:v>
      </x:c>
      <x:c r="D40" s="121" t="str">
        <x:v>url</x:v>
      </x:c>
      <x:c r="E40" s="121" t="str">
        <x:v>https://generativelanguage.googleapis.com/v1beta</x:v>
      </x:c>
      <x:c r="F40" s="121"/>
      <x:c r="G40" s="121"/>
      <x:c r="H40" s="121"/>
      <x:c r="I40" s="121" t="str">
        <x:v>[]</x:v>
      </x:c>
      <x:c r="J40" s="121" t="str">
        <x:v>[]</x:v>
      </x:c>
      <x:c r="K40" s="121" t="n">
        <x:v>0</x:v>
      </x:c>
      <x:c r="L40" s="121" t="n">
        <x:v>0</x:v>
      </x:c>
      <x:c r="M40" s="121" t="str">
        <x:v>index.html</x:v>
      </x:c>
      <x:c r="N40" s="121" t="str">
        <x:v>與目前介面控制項同步。</x:v>
      </x:c>
    </x:row>
    <x:row r="41" ht="34" customHeight="1">
      <x:c r="A41" s="122" t="str">
        <x:v>llmInstruction</x:v>
      </x:c>
      <x:c r="B41" s="122" t="str">
        <x:v>builder</x:v>
      </x:c>
      <x:c r="C41" s="122" t="str">
        <x:v>額外敘事指示（選填）</x:v>
      </x:c>
      <x:c r="D41" s="122" t="str">
        <x:v>textarea</x:v>
      </x:c>
      <x:c r="E41" s="122" t="str"/>
      <x:c r="F41" s="122"/>
      <x:c r="G41" s="122"/>
      <x:c r="H41" s="122"/>
      <x:c r="I41" s="122" t="str">
        <x:v>[]</x:v>
      </x:c>
      <x:c r="J41" s="122" t="str">
        <x:v>[]</x:v>
      </x:c>
      <x:c r="K41" s="122" t="n">
        <x:v>0</x:v>
      </x:c>
      <x:c r="L41" s="122" t="n">
        <x:v>0</x:v>
      </x:c>
      <x:c r="M41" s="122" t="str">
        <x:v>index.html</x:v>
      </x:c>
      <x:c r="N41" s="122" t="str">
        <x:v>與目前介面控制項同步。</x:v>
      </x:c>
    </x:row>
    <x:row r="42" ht="34" customHeight="1">
      <x:c r="A42" s="121" t="str">
        <x:v>orderActor</x:v>
      </x:c>
      <x:c r="B42" s="121" t="str">
        <x:v>simulation</x:v>
      </x:c>
      <x:c r="C42" s="121" t="str">
        <x:v>角色</x:v>
      </x:c>
      <x:c r="D42" s="121" t="str">
        <x:v>select</x:v>
      </x:c>
      <x:c r="E42" s="121" t="str">
        <x:v>BLUE</x:v>
      </x:c>
      <x:c r="F42" s="121"/>
      <x:c r="G42" s="121"/>
      <x:c r="H42" s="121"/>
      <x:c r="I42" s="121" t="str">
        <x:v>["BLUE","RED","AMBER"]</x:v>
      </x:c>
      <x:c r="J42" s="121" t="str">
        <x:v>["藍方（臺灣）","紅方（中國大陸）","琥珀方（美軍支援）"]</x:v>
      </x:c>
      <x:c r="K42" s="121" t="n">
        <x:v>0</x:v>
      </x:c>
      <x:c r="L42" s="121" t="n">
        <x:v>0</x:v>
      </x:c>
      <x:c r="M42" s="121" t="str">
        <x:v>index.html</x:v>
      </x:c>
      <x:c r="N42" s="121" t="str">
        <x:v>與目前介面控制項同步。</x:v>
      </x:c>
    </x:row>
    <x:row r="43" ht="34" customHeight="1">
      <x:c r="A43" s="122" t="str">
        <x:v>orderAction</x:v>
      </x:c>
      <x:c r="B43" s="122" t="str">
        <x:v>simulation</x:v>
      </x:c>
      <x:c r="C43" s="122" t="str">
        <x:v>行動</x:v>
      </x:c>
      <x:c r="D43" s="122" t="str">
        <x:v>select</x:v>
      </x:c>
      <x:c r="E43" s="122" t="str"/>
      <x:c r="F43" s="122"/>
      <x:c r="G43" s="122"/>
      <x:c r="H43" s="122"/>
      <x:c r="I43" s="122" t="str">
        <x:v>[]</x:v>
      </x:c>
      <x:c r="J43" s="122" t="str">
        <x:v>[]</x:v>
      </x:c>
      <x:c r="K43" s="122" t="n">
        <x:v>0</x:v>
      </x:c>
      <x:c r="L43" s="122" t="n">
        <x:v>0</x:v>
      </x:c>
      <x:c r="M43" s="122" t="str">
        <x:v>index.html</x:v>
      </x:c>
      <x:c r="N43" s="122" t="str">
        <x:v>與目前介面控制項同步。</x:v>
      </x:c>
    </x:row>
    <x:row r="44" ht="34" customHeight="1">
      <x:c r="A44" s="121" t="str">
        <x:v>orderZone</x:v>
      </x:c>
      <x:c r="B44" s="121" t="str">
        <x:v>simulation</x:v>
      </x:c>
      <x:c r="C44" s="121" t="str">
        <x:v>目標區域</x:v>
      </x:c>
      <x:c r="D44" s="121" t="str">
        <x:v>select</x:v>
      </x:c>
      <x:c r="E44" s="121" t="str"/>
      <x:c r="F44" s="121"/>
      <x:c r="G44" s="121"/>
      <x:c r="H44" s="121"/>
      <x:c r="I44" s="121" t="str">
        <x:v>[]</x:v>
      </x:c>
      <x:c r="J44" s="121" t="str">
        <x:v>[]</x:v>
      </x:c>
      <x:c r="K44" s="121" t="n">
        <x:v>0</x:v>
      </x:c>
      <x:c r="L44" s="121" t="n">
        <x:v>0</x:v>
      </x:c>
      <x:c r="M44" s="121" t="str">
        <x:v>index.html</x:v>
      </x:c>
      <x:c r="N44" s="121" t="str">
        <x:v>與目前介面控制項同步。</x:v>
      </x:c>
    </x:row>
    <x:row r="45" ht="34" customHeight="1">
      <x:c r="A45" s="122" t="str">
        <x:v>orderResource</x:v>
      </x:c>
      <x:c r="B45" s="122" t="str">
        <x:v>simulation</x:v>
      </x:c>
      <x:c r="C45" s="122" t="str">
        <x:v>投入資源點數</x:v>
      </x:c>
      <x:c r="D45" s="122" t="str">
        <x:v>number</x:v>
      </x:c>
      <x:c r="E45" s="122" t="str">
        <x:v>20</x:v>
      </x:c>
      <x:c r="F45" s="122" t="n">
        <x:v>5</x:v>
      </x:c>
      <x:c r="G45" s="122" t="n">
        <x:v>35</x:v>
      </x:c>
      <x:c r="H45" s="122"/>
      <x:c r="I45" s="122" t="str">
        <x:v>[]</x:v>
      </x:c>
      <x:c r="J45" s="122" t="str">
        <x:v>[]</x:v>
      </x:c>
      <x:c r="K45" s="122" t="n">
        <x:v>0</x:v>
      </x:c>
      <x:c r="L45" s="122" t="n">
        <x:v>0</x:v>
      </x:c>
      <x:c r="M45" s="122" t="str">
        <x:v>index.html</x:v>
      </x:c>
      <x:c r="N45" s="122" t="str">
        <x:v>與目前介面控制項同步。</x:v>
      </x:c>
    </x:row>
    <x:row r="46" ht="34" customHeight="1">
      <x:c r="A46" s="121" t="str">
        <x:v>orderRationale</x:v>
      </x:c>
      <x:c r="B46" s="121" t="str">
        <x:v>simulation</x:v>
      </x:c>
      <x:c r="C46" s="121" t="str">
        <x:v>決策理由</x:v>
      </x:c>
      <x:c r="D46" s="121" t="str">
        <x:v>textarea</x:v>
      </x:c>
      <x:c r="E46" s="121" t="str"/>
      <x:c r="F46" s="121"/>
      <x:c r="G46" s="121"/>
      <x:c r="H46" s="121"/>
      <x:c r="I46" s="121" t="str">
        <x:v>[]</x:v>
      </x:c>
      <x:c r="J46" s="121" t="str">
        <x:v>[]</x:v>
      </x:c>
      <x:c r="K46" s="121" t="n">
        <x:v>0</x:v>
      </x:c>
      <x:c r="L46" s="121" t="n">
        <x:v>0</x:v>
      </x:c>
      <x:c r="M46" s="121" t="str">
        <x:v>index.html</x:v>
      </x:c>
      <x:c r="N46" s="121" t="str">
        <x:v>與目前介面控制項同步。</x:v>
      </x:c>
    </x:row>
    <x:row r="47" ht="34" customHeight="1">
      <x:c r="A47" s="122" t="str">
        <x:v>labIncoming</x:v>
      </x:c>
      <x:c r="B47" s="122" t="str">
        <x:v>simulation</x:v>
      </x:c>
      <x:c r="C47" s="122" t="str">
        <x:v>來襲目標數</x:v>
      </x:c>
      <x:c r="D47" s="122" t="str">
        <x:v>number</x:v>
      </x:c>
      <x:c r="E47" s="122" t="str">
        <x:v>3</x:v>
      </x:c>
      <x:c r="F47" s="122" t="n">
        <x:v>1</x:v>
      </x:c>
      <x:c r="G47" s="122" t="n">
        <x:v>20</x:v>
      </x:c>
      <x:c r="H47" s="122"/>
      <x:c r="I47" s="122" t="str">
        <x:v>[]</x:v>
      </x:c>
      <x:c r="J47" s="122" t="str">
        <x:v>[]</x:v>
      </x:c>
      <x:c r="K47" s="122" t="n">
        <x:v>0</x:v>
      </x:c>
      <x:c r="L47" s="122" t="n">
        <x:v>0</x:v>
      </x:c>
      <x:c r="M47" s="122" t="str">
        <x:v>index.html</x:v>
      </x:c>
      <x:c r="N47" s="122" t="str">
        <x:v>與目前介面控制項同步。</x:v>
      </x:c>
    </x:row>
    <x:row r="48" ht="34" customHeight="1">
      <x:c r="A48" s="121" t="str">
        <x:v>labShots</x:v>
      </x:c>
      <x:c r="B48" s="121" t="str">
        <x:v>simulation</x:v>
      </x:c>
      <x:c r="C48" s="121" t="str">
        <x:v>配置攔截次數</x:v>
      </x:c>
      <x:c r="D48" s="121" t="str">
        <x:v>number</x:v>
      </x:c>
      <x:c r="E48" s="121" t="str">
        <x:v>4</x:v>
      </x:c>
      <x:c r="F48" s="121" t="n">
        <x:v>1</x:v>
      </x:c>
      <x:c r="G48" s="121" t="n">
        <x:v>20</x:v>
      </x:c>
      <x:c r="H48" s="121"/>
      <x:c r="I48" s="121" t="str">
        <x:v>[]</x:v>
      </x:c>
      <x:c r="J48" s="121" t="str">
        <x:v>[]</x:v>
      </x:c>
      <x:c r="K48" s="121" t="n">
        <x:v>0</x:v>
      </x:c>
      <x:c r="L48" s="121" t="n">
        <x:v>0</x:v>
      </x:c>
      <x:c r="M48" s="121" t="str">
        <x:v>index.html</x:v>
      </x:c>
      <x:c r="N48" s="121" t="str">
        <x:v>與目前介面控制項同步。</x:v>
      </x:c>
    </x:row>
    <x:row r="49" ht="34" customHeight="1">
      <x:c r="A49" s="122" t="str">
        <x:v>labBaseP</x:v>
      </x:c>
      <x:c r="B49" s="122" t="str">
        <x:v>simulation</x:v>
      </x:c>
      <x:c r="C49" s="122" t="str">
        <x:v>單次基準機率</x:v>
      </x:c>
      <x:c r="D49" s="122" t="str">
        <x:v>range</x:v>
      </x:c>
      <x:c r="E49" s="122" t="str">
        <x:v>43</x:v>
      </x:c>
      <x:c r="F49" s="122" t="n">
        <x:v>20</x:v>
      </x:c>
      <x:c r="G49" s="122" t="n">
        <x:v>70</x:v>
      </x:c>
      <x:c r="H49" s="122"/>
      <x:c r="I49" s="122" t="str">
        <x:v>[]</x:v>
      </x:c>
      <x:c r="J49" s="122" t="str">
        <x:v>[]</x:v>
      </x:c>
      <x:c r="K49" s="122" t="n">
        <x:v>0</x:v>
      </x:c>
      <x:c r="L49" s="122" t="n">
        <x:v>0</x:v>
      </x:c>
      <x:c r="M49" s="122" t="str">
        <x:v>index.html</x:v>
      </x:c>
      <x:c r="N49" s="122" t="str">
        <x:v>與目前介面控制項同步。</x:v>
      </x:c>
    </x:row>
    <x:row r="50" ht="34" customHeight="1">
      <x:c r="A50" s="121" t="str">
        <x:v>labDetection</x:v>
      </x:c>
      <x:c r="B50" s="121" t="str">
        <x:v>simulation</x:v>
      </x:c>
      <x:c r="C50" s="121" t="str">
        <x:v>偵測品質</x:v>
      </x:c>
      <x:c r="D50" s="121" t="str">
        <x:v>range</x:v>
      </x:c>
      <x:c r="E50" s="121" t="str">
        <x:v>78</x:v>
      </x:c>
      <x:c r="F50" s="121" t="n">
        <x:v>40</x:v>
      </x:c>
      <x:c r="G50" s="121" t="n">
        <x:v>100</x:v>
      </x:c>
      <x:c r="H50" s="121"/>
      <x:c r="I50" s="121" t="str">
        <x:v>[]</x:v>
      </x:c>
      <x:c r="J50" s="121" t="str">
        <x:v>[]</x:v>
      </x:c>
      <x:c r="K50" s="121" t="n">
        <x:v>0</x:v>
      </x:c>
      <x:c r="L50" s="121" t="n">
        <x:v>0</x:v>
      </x:c>
      <x:c r="M50" s="121" t="str">
        <x:v>index.html</x:v>
      </x:c>
      <x:c r="N50" s="121" t="str">
        <x:v>與目前介面控制項同步。</x:v>
      </x:c>
    </x:row>
    <x:row r="51" ht="34" customHeight="1">
      <x:c r="A51" s="122" t="str">
        <x:v>labReadiness</x:v>
      </x:c>
      <x:c r="B51" s="122" t="str">
        <x:v>simulation</x:v>
      </x:c>
      <x:c r="C51" s="122" t="str">
        <x:v>系統準備度</x:v>
      </x:c>
      <x:c r="D51" s="122" t="str">
        <x:v>range</x:v>
      </x:c>
      <x:c r="E51" s="122" t="str">
        <x:v>80</x:v>
      </x:c>
      <x:c r="F51" s="122" t="n">
        <x:v>40</x:v>
      </x:c>
      <x:c r="G51" s="122" t="n">
        <x:v>100</x:v>
      </x:c>
      <x:c r="H51" s="122"/>
      <x:c r="I51" s="122" t="str">
        <x:v>[]</x:v>
      </x:c>
      <x:c r="J51" s="122" t="str">
        <x:v>[]</x:v>
      </x:c>
      <x:c r="K51" s="122" t="n">
        <x:v>0</x:v>
      </x:c>
      <x:c r="L51" s="122" t="n">
        <x:v>0</x:v>
      </x:c>
      <x:c r="M51" s="122" t="str">
        <x:v>index.html</x:v>
      </x:c>
      <x:c r="N51" s="122" t="str">
        <x:v>與目前介面控制項同步。</x:v>
      </x:c>
    </x:row>
    <x:row r="52" ht="34" customHeight="1">
      <x:c r="A52" s="121" t="str">
        <x:v>labSea</x:v>
      </x:c>
      <x:c r="B52" s="121" t="str">
        <x:v>simulation</x:v>
      </x:c>
      <x:c r="C52" s="121" t="str">
        <x:v>海象</x:v>
      </x:c>
      <x:c r="D52" s="121" t="str">
        <x:v>range</x:v>
      </x:c>
      <x:c r="E52" s="121" t="str">
        <x:v>3</x:v>
      </x:c>
      <x:c r="F52" s="121" t="n">
        <x:v>1</x:v>
      </x:c>
      <x:c r="G52" s="121" t="n">
        <x:v>5</x:v>
      </x:c>
      <x:c r="H52" s="121"/>
      <x:c r="I52" s="121" t="str">
        <x:v>[]</x:v>
      </x:c>
      <x:c r="J52" s="121" t="str">
        <x:v>[]</x:v>
      </x:c>
      <x:c r="K52" s="121" t="n">
        <x:v>0</x:v>
      </x:c>
      <x:c r="L52" s="121" t="n">
        <x:v>0</x:v>
      </x:c>
      <x:c r="M52" s="121" t="str">
        <x:v>index.html</x:v>
      </x:c>
      <x:c r="N52" s="121" t="str">
        <x:v>與目前介面控制項同步。</x:v>
      </x:c>
    </x:row>
    <x:row r="53" ht="34" customHeight="1">
      <x:c r="A53" s="122" t="str">
        <x:v>labJamming</x:v>
      </x:c>
      <x:c r="B53" s="122" t="str">
        <x:v>simulation</x:v>
      </x:c>
      <x:c r="C53" s="122" t="str">
        <x:v>干擾程度</x:v>
      </x:c>
      <x:c r="D53" s="122" t="str">
        <x:v>range</x:v>
      </x:c>
      <x:c r="E53" s="122" t="str">
        <x:v>22</x:v>
      </x:c>
      <x:c r="F53" s="122" t="n">
        <x:v>0</x:v>
      </x:c>
      <x:c r="G53" s="122" t="n">
        <x:v>50</x:v>
      </x:c>
      <x:c r="H53" s="122"/>
      <x:c r="I53" s="122" t="str">
        <x:v>[]</x:v>
      </x:c>
      <x:c r="J53" s="122" t="str">
        <x:v>[]</x:v>
      </x:c>
      <x:c r="K53" s="122" t="n">
        <x:v>0</x:v>
      </x:c>
      <x:c r="L53" s="122" t="n">
        <x:v>0</x:v>
      </x:c>
      <x:c r="M53" s="122" t="str">
        <x:v>index.html</x:v>
      </x:c>
      <x:c r="N53" s="122" t="str">
        <x:v>與目前介面控制項同步。</x:v>
      </x:c>
    </x:row>
    <x:row r="54" ht="34" customHeight="1">
      <x:c r="A54" s="121" t="str">
        <x:v>stormCoa</x:v>
      </x:c>
      <x:c r="B54" s="121" t="str">
        <x:v>storm</x:v>
      </x:c>
      <x:c r="C54" s="121" t="str">
        <x:v>行動方案 COA</x:v>
      </x:c>
      <x:c r="D54" s="121" t="str">
        <x:v>select</x:v>
      </x:c>
      <x:c r="E54" s="121" t="str">
        <x:v>balanced</x:v>
      </x:c>
      <x:c r="F54" s="121"/>
      <x:c r="G54" s="121"/>
      <x:c r="H54" s="121"/>
      <x:c r="I54" s="121" t="str">
        <x:v>["balanced","concentrated","logistics","distributed"]</x:v>
      </x:c>
      <x:c r="J54" s="121" t="str">
        <x:v>["均衡韌性防衛","集中主要方向","後勤優先","分散式 ISR 與指管"]</x:v>
      </x:c>
      <x:c r="K54" s="121" t="n">
        <x:v>0</x:v>
      </x:c>
      <x:c r="L54" s="121" t="n">
        <x:v>0</x:v>
      </x:c>
      <x:c r="M54" s="121" t="str">
        <x:v>index.html</x:v>
      </x:c>
      <x:c r="N54" s="121" t="str">
        <x:v>與目前介面控制項同步。</x:v>
      </x:c>
    </x:row>
    <x:row r="55" ht="34" customHeight="1">
      <x:c r="A55" s="122" t="str">
        <x:v>stormReplications</x:v>
      </x:c>
      <x:c r="B55" s="122" t="str">
        <x:v>storm</x:v>
      </x:c>
      <x:c r="C55" s="122" t="str">
        <x:v>重複次數</x:v>
      </x:c>
      <x:c r="D55" s="122" t="str">
        <x:v>select</x:v>
      </x:c>
      <x:c r="E55" s="122" t="str">
        <x:v>100</x:v>
      </x:c>
      <x:c r="F55" s="122"/>
      <x:c r="G55" s="122"/>
      <x:c r="H55" s="122"/>
      <x:c r="I55" s="122" t="str">
        <x:v>["30","100","300","500"]</x:v>
      </x:c>
      <x:c r="J55" s="122" t="str">
        <x:v>["30 次：快速示範","100 次：一般分析","300 次：較穩定分布","500 次：進階比較"]</x:v>
      </x:c>
      <x:c r="K55" s="122" t="n">
        <x:v>0</x:v>
      </x:c>
      <x:c r="L55" s="122" t="n">
        <x:v>0</x:v>
      </x:c>
      <x:c r="M55" s="122" t="str">
        <x:v>index.html</x:v>
      </x:c>
      <x:c r="N55" s="122" t="str">
        <x:v>與目前介面控制項同步。</x:v>
      </x:c>
    </x:row>
    <x:row r="56" ht="34" customHeight="1">
      <x:c r="A56" s="121" t="str">
        <x:v>stormC2</x:v>
      </x:c>
      <x:c r="B56" s="121" t="str">
        <x:v>storm</x:v>
      </x:c>
      <x:c r="C56" s="121" t="str">
        <x:v>指揮管制品質 C2</x:v>
      </x:c>
      <x:c r="D56" s="121" t="str">
        <x:v>range</x:v>
      </x:c>
      <x:c r="E56" s="121" t="str">
        <x:v>72</x:v>
      </x:c>
      <x:c r="F56" s="121" t="n">
        <x:v>40</x:v>
      </x:c>
      <x:c r="G56" s="121" t="n">
        <x:v>100</x:v>
      </x:c>
      <x:c r="H56" s="121"/>
      <x:c r="I56" s="121" t="str">
        <x:v>[]</x:v>
      </x:c>
      <x:c r="J56" s="121" t="str">
        <x:v>[]</x:v>
      </x:c>
      <x:c r="K56" s="121" t="n">
        <x:v>0</x:v>
      </x:c>
      <x:c r="L56" s="121" t="n">
        <x:v>0</x:v>
      </x:c>
      <x:c r="M56" s="121" t="str">
        <x:v>index.html</x:v>
      </x:c>
      <x:c r="N56" s="121" t="str">
        <x:v>與目前介面控制項同步。</x:v>
      </x:c>
    </x:row>
    <x:row r="57" ht="34" customHeight="1">
      <x:c r="A57" s="122" t="str">
        <x:v>stormIsr</x:v>
      </x:c>
      <x:c r="B57" s="122" t="str">
        <x:v>storm</x:v>
      </x:c>
      <x:c r="C57" s="122" t="str">
        <x:v>情監偵／情報品質 ISR</x:v>
      </x:c>
      <x:c r="D57" s="122" t="str">
        <x:v>range</x:v>
      </x:c>
      <x:c r="E57" s="122" t="str">
        <x:v>68</x:v>
      </x:c>
      <x:c r="F57" s="122" t="n">
        <x:v>40</x:v>
      </x:c>
      <x:c r="G57" s="122" t="n">
        <x:v>100</x:v>
      </x:c>
      <x:c r="H57" s="122"/>
      <x:c r="I57" s="122" t="str">
        <x:v>[]</x:v>
      </x:c>
      <x:c r="J57" s="122" t="str">
        <x:v>[]</x:v>
      </x:c>
      <x:c r="K57" s="122" t="n">
        <x:v>0</x:v>
      </x:c>
      <x:c r="L57" s="122" t="n">
        <x:v>0</x:v>
      </x:c>
      <x:c r="M57" s="122" t="str">
        <x:v>index.html</x:v>
      </x:c>
      <x:c r="N57" s="122" t="str">
        <x:v>與目前介面控制項同步。</x:v>
      </x:c>
    </x:row>
    <x:row r="58" ht="34" customHeight="1">
      <x:c r="A58" s="121" t="str">
        <x:v>stormReadiness</x:v>
      </x:c>
      <x:c r="B58" s="121" t="str">
        <x:v>storm</x:v>
      </x:c>
      <x:c r="C58" s="121" t="str">
        <x:v>資產初始準備度</x:v>
      </x:c>
      <x:c r="D58" s="121" t="str">
        <x:v>range</x:v>
      </x:c>
      <x:c r="E58" s="121" t="str">
        <x:v>76</x:v>
      </x:c>
      <x:c r="F58" s="121" t="n">
        <x:v>40</x:v>
      </x:c>
      <x:c r="G58" s="121" t="n">
        <x:v>100</x:v>
      </x:c>
      <x:c r="H58" s="121"/>
      <x:c r="I58" s="121" t="str">
        <x:v>[]</x:v>
      </x:c>
      <x:c r="J58" s="121" t="str">
        <x:v>[]</x:v>
      </x:c>
      <x:c r="K58" s="121" t="n">
        <x:v>0</x:v>
      </x:c>
      <x:c r="L58" s="121" t="n">
        <x:v>0</x:v>
      </x:c>
      <x:c r="M58" s="121" t="str">
        <x:v>index.html</x:v>
      </x:c>
      <x:c r="N58" s="121" t="str">
        <x:v>與目前介面控制項同步。</x:v>
      </x:c>
    </x:row>
    <x:row r="59" ht="34" customHeight="1">
      <x:c r="A59" s="122" t="str">
        <x:v>stormSustainment</x:v>
      </x:c>
      <x:c r="B59" s="122" t="str">
        <x:v>storm</x:v>
      </x:c>
      <x:c r="C59" s="122" t="str">
        <x:v>後勤持續性</x:v>
      </x:c>
      <x:c r="D59" s="122" t="str">
        <x:v>range</x:v>
      </x:c>
      <x:c r="E59" s="122" t="str">
        <x:v>74</x:v>
      </x:c>
      <x:c r="F59" s="122" t="n">
        <x:v>40</x:v>
      </x:c>
      <x:c r="G59" s="122" t="n">
        <x:v>100</x:v>
      </x:c>
      <x:c r="H59" s="122"/>
      <x:c r="I59" s="122" t="str">
        <x:v>[]</x:v>
      </x:c>
      <x:c r="J59" s="122" t="str">
        <x:v>[]</x:v>
      </x:c>
      <x:c r="K59" s="122" t="n">
        <x:v>0</x:v>
      </x:c>
      <x:c r="L59" s="122" t="n">
        <x:v>0</x:v>
      </x:c>
      <x:c r="M59" s="122" t="str">
        <x:v>index.html</x:v>
      </x:c>
      <x:c r="N59" s="122" t="str">
        <x:v>與目前介面控制項同步。</x:v>
      </x:c>
    </x:row>
    <x:row r="60" ht="34" customHeight="1">
      <x:c r="A60" s="121" t="str">
        <x:v>stormMobility</x:v>
      </x:c>
      <x:c r="B60" s="121" t="str">
        <x:v>storm</x:v>
      </x:c>
      <x:c r="C60" s="121" t="str">
        <x:v>機動與運輸能力</x:v>
      </x:c>
      <x:c r="D60" s="121" t="str">
        <x:v>range</x:v>
      </x:c>
      <x:c r="E60" s="121" t="str">
        <x:v>70</x:v>
      </x:c>
      <x:c r="F60" s="121" t="n">
        <x:v>40</x:v>
      </x:c>
      <x:c r="G60" s="121" t="n">
        <x:v>100</x:v>
      </x:c>
      <x:c r="H60" s="121"/>
      <x:c r="I60" s="121" t="str">
        <x:v>[]</x:v>
      </x:c>
      <x:c r="J60" s="121" t="str">
        <x:v>[]</x:v>
      </x:c>
      <x:c r="K60" s="121" t="n">
        <x:v>0</x:v>
      </x:c>
      <x:c r="L60" s="121" t="n">
        <x:v>0</x:v>
      </x:c>
      <x:c r="M60" s="121" t="str">
        <x:v>index.html</x:v>
      </x:c>
      <x:c r="N60" s="121" t="str">
        <x:v>與目前介面控制項同步。</x:v>
      </x:c>
    </x:row>
    <x:row r="61" ht="34" customHeight="1">
      <x:c r="A61" s="122" t="str">
        <x:v>stormEnvironment</x:v>
      </x:c>
      <x:c r="B61" s="122" t="str">
        <x:v>storm</x:v>
      </x:c>
      <x:c r="C61" s="122" t="str">
        <x:v>環境嚴苛度</x:v>
      </x:c>
      <x:c r="D61" s="122" t="str">
        <x:v>range</x:v>
      </x:c>
      <x:c r="E61" s="122" t="str">
        <x:v>3</x:v>
      </x:c>
      <x:c r="F61" s="122" t="n">
        <x:v>1</x:v>
      </x:c>
      <x:c r="G61" s="122" t="n">
        <x:v>5</x:v>
      </x:c>
      <x:c r="H61" s="122"/>
      <x:c r="I61" s="122" t="str">
        <x:v>[]</x:v>
      </x:c>
      <x:c r="J61" s="122" t="str">
        <x:v>[]</x:v>
      </x:c>
      <x:c r="K61" s="122" t="n">
        <x:v>0</x:v>
      </x:c>
      <x:c r="L61" s="122" t="n">
        <x:v>0</x:v>
      </x:c>
      <x:c r="M61" s="122" t="str">
        <x:v>index.html</x:v>
      </x:c>
      <x:c r="N61" s="122" t="str">
        <x:v>與目前介面控制項同步。</x:v>
      </x:c>
    </x:row>
    <x:row r="62" ht="34" customHeight="1">
      <x:c r="A62" s="121" t="str">
        <x:v>stormPressure</x:v>
      </x:c>
      <x:c r="B62" s="121" t="str">
        <x:v>storm</x:v>
      </x:c>
      <x:c r="C62" s="121" t="str">
        <x:v>對手施壓強度</x:v>
      </x:c>
      <x:c r="D62" s="121" t="str">
        <x:v>range</x:v>
      </x:c>
      <x:c r="E62" s="121" t="str">
        <x:v>3</x:v>
      </x:c>
      <x:c r="F62" s="121" t="n">
        <x:v>1</x:v>
      </x:c>
      <x:c r="G62" s="121" t="n">
        <x:v>5</x:v>
      </x:c>
      <x:c r="H62" s="121"/>
      <x:c r="I62" s="121" t="str">
        <x:v>[]</x:v>
      </x:c>
      <x:c r="J62" s="121" t="str">
        <x:v>[]</x:v>
      </x:c>
      <x:c r="K62" s="121" t="n">
        <x:v>0</x:v>
      </x:c>
      <x:c r="L62" s="121" t="n">
        <x:v>0</x:v>
      </x:c>
      <x:c r="M62" s="121" t="str">
        <x:v>index.html</x:v>
      </x:c>
      <x:c r="N62" s="121" t="str">
        <x:v>與目前介面控制項同步。</x:v>
      </x:c>
    </x:row>
    <x:row r="63" ht="34" customHeight="1">
      <x:c r="A63" s="122" t="str">
        <x:v>stormCivil</x:v>
      </x:c>
      <x:c r="B63" s="122" t="str">
        <x:v>storm</x:v>
      </x:c>
      <x:c r="C63" s="122" t="str">
        <x:v>民事暴露程度</x:v>
      </x:c>
      <x:c r="D63" s="122" t="str">
        <x:v>range</x:v>
      </x:c>
      <x:c r="E63" s="122" t="str">
        <x:v>3</x:v>
      </x:c>
      <x:c r="F63" s="122" t="n">
        <x:v>1</x:v>
      </x:c>
      <x:c r="G63" s="122" t="n">
        <x:v>5</x:v>
      </x:c>
      <x:c r="H63" s="122"/>
      <x:c r="I63" s="122" t="str">
        <x:v>[]</x:v>
      </x:c>
      <x:c r="J63" s="122" t="str">
        <x:v>[]</x:v>
      </x:c>
      <x:c r="K63" s="122" t="n">
        <x:v>0</x:v>
      </x:c>
      <x:c r="L63" s="122" t="n">
        <x:v>0</x:v>
      </x:c>
      <x:c r="M63" s="122" t="str">
        <x:v>index.html</x:v>
      </x:c>
      <x:c r="N63" s="122" t="str">
        <x:v>與目前介面控制項同步。</x:v>
      </x:c>
    </x:row>
    <x:row r="64" ht="34" customHeight="1">
      <x:c r="A64" s="121" t="str">
        <x:v>stormSeed</x:v>
      </x:c>
      <x:c r="B64" s="121" t="str">
        <x:v>storm</x:v>
      </x:c>
      <x:c r="C64" s="121" t="str">
        <x:v>隨機種子</x:v>
      </x:c>
      <x:c r="D64" s="121" t="str">
        <x:v>number</x:v>
      </x:c>
      <x:c r="E64" s="121" t="str">
        <x:v>20260727</x:v>
      </x:c>
      <x:c r="F64" s="121" t="n">
        <x:v>1</x:v>
      </x:c>
      <x:c r="G64" s="121"/>
      <x:c r="H64" s="121"/>
      <x:c r="I64" s="121" t="str">
        <x:v>[]</x:v>
      </x:c>
      <x:c r="J64" s="121" t="str">
        <x:v>[]</x:v>
      </x:c>
      <x:c r="K64" s="121" t="n">
        <x:v>0</x:v>
      </x:c>
      <x:c r="L64" s="121" t="n">
        <x:v>0</x:v>
      </x:c>
      <x:c r="M64" s="121" t="str">
        <x:v>index.html</x:v>
      </x:c>
      <x:c r="N64" s="121" t="str">
        <x:v>與目前介面控制項同步。</x:v>
      </x:c>
    </x:row>
    <x:row r="65" ht="34" customHeight="1">
      <x:c r="A65" s="122" t="str">
        <x:v>stormThreshold</x:v>
      </x:c>
      <x:c r="B65" s="122" t="str">
        <x:v>storm</x:v>
      </x:c>
      <x:c r="C65" s="122" t="str">
        <x:v>成功門檻</x:v>
      </x:c>
      <x:c r="D65" s="122" t="str">
        <x:v>range</x:v>
      </x:c>
      <x:c r="E65" s="122" t="str">
        <x:v>60</x:v>
      </x:c>
      <x:c r="F65" s="122" t="n">
        <x:v>45</x:v>
      </x:c>
      <x:c r="G65" s="122" t="n">
        <x:v>80</x:v>
      </x:c>
      <x:c r="H65" s="122"/>
      <x:c r="I65" s="122" t="str">
        <x:v>[]</x:v>
      </x:c>
      <x:c r="J65" s="122" t="str">
        <x:v>[]</x:v>
      </x:c>
      <x:c r="K65" s="122" t="n">
        <x:v>0</x:v>
      </x:c>
      <x:c r="L65" s="122" t="n">
        <x:v>0</x:v>
      </x:c>
      <x:c r="M65" s="122" t="str">
        <x:v>index.html</x:v>
      </x:c>
      <x:c r="N65" s="122" t="str">
        <x:v>與目前介面控制項同步。</x:v>
      </x:c>
    </x:row>
    <x:row r="66" ht="34" customHeight="1">
      <x:c r="A66" s="121" t="str">
        <x:v>enableDetailedInventory</x:v>
      </x:c>
      <x:c r="B66" s="121" t="str">
        <x:v>inventory</x:v>
      </x:c>
      <x:c r="C66" s="121" t="str">
        <x:v>啟用詳細資源清單</x:v>
      </x:c>
      <x:c r="D66" s="121" t="str">
        <x:v>checkbox</x:v>
      </x:c>
      <x:c r="E66" s="121" t="str">
        <x:v>true</x:v>
      </x:c>
      <x:c r="F66" s="121" t="str"/>
      <x:c r="G66" s="121" t="str"/>
      <x:c r="H66" s="121" t="str"/>
      <x:c r="I66" s="121" t="str">
        <x:v>[]</x:v>
      </x:c>
      <x:c r="J66" s="121" t="str">
        <x:v>[]</x:v>
      </x:c>
      <x:c r="K66" s="121" t="n">
        <x:v>0</x:v>
      </x:c>
      <x:c r="L66" s="121" t="n">
        <x:v>0</x:v>
      </x:c>
      <x:c r="M66" s="121" t="str">
        <x:v>index.html</x:v>
      </x:c>
      <x:c r="N66" s="121" t="str">
        <x:v>現行預設啟用</x:v>
      </x:c>
    </x:row>
    <x:row r="67" ht="34" customHeight="1">
      <x:c r="A67" s="122" t="str">
        <x:v>inventoryDataMode</x:v>
      </x:c>
      <x:c r="B67" s="122" t="str">
        <x:v>inventory</x:v>
      </x:c>
      <x:c r="C67" s="122" t="str">
        <x:v>資源資料模式</x:v>
      </x:c>
      <x:c r="D67" s="122" t="str">
        <x:v>select</x:v>
      </x:c>
      <x:c r="E67" s="122" t="str">
        <x:v>synthetic</x:v>
      </x:c>
      <x:c r="F67" s="122" t="str"/>
      <x:c r="G67" s="122" t="str"/>
      <x:c r="H67" s="122" t="str"/>
      <x:c r="I67" s="122" t="str">
        <x:v>["synthetic","sensitive_local"]</x:v>
      </x:c>
      <x:c r="J67" s="122" t="str">
        <x:v>["合成教學資料","敏感資料（只留本機）"]</x:v>
      </x:c>
      <x:c r="K67" s="122" t="n">
        <x:v>0</x:v>
      </x:c>
      <x:c r="L67" s="122" t="n">
        <x:v>1</x:v>
      </x:c>
      <x:c r="M67" s="122" t="str">
        <x:v>index.html</x:v>
      </x:c>
      <x:c r="N67" s="122" t="str">
        <x:v>控制外送資料邊界</x:v>
      </x:c>
    </x:row>
    <x:row r="68" ht="34" customHeight="1">
      <x:c r="A68" s="121" t="str">
        <x:v>useLlmNextTurn</x:v>
      </x:c>
      <x:c r="B68" s="121" t="str">
        <x:v>inventory</x:v>
      </x:c>
      <x:c r="C68" s="121" t="str">
        <x:v>使用 LLM 生成次回合想定</x:v>
      </x:c>
      <x:c r="D68" s="121" t="str">
        <x:v>checkbox</x:v>
      </x:c>
      <x:c r="E68" s="121" t="str">
        <x:v>true</x:v>
      </x:c>
      <x:c r="F68" s="121" t="str"/>
      <x:c r="G68" s="121" t="str"/>
      <x:c r="H68" s="121" t="str"/>
      <x:c r="I68" s="121" t="str">
        <x:v>[]</x:v>
      </x:c>
      <x:c r="J68" s="121" t="str">
        <x:v>[]</x:v>
      </x:c>
      <x:c r="K68" s="121" t="n">
        <x:v>0</x:v>
      </x:c>
      <x:c r="L68" s="121" t="n">
        <x:v>0</x:v>
      </x:c>
      <x:c r="M68" s="121" t="str">
        <x:v>index.html</x:v>
      </x:c>
      <x:c r="N68" s="121" t="str">
        <x:v>依消耗與剩餘資源產生下一回合敘事</x:v>
      </x:c>
    </x:row>
    <x:row r="69" ht="34" customHeight="1">
      <x:c r="A69" s="122" t="str">
        <x:v>allowSanitizedLlm</x:v>
      </x:c>
      <x:c r="B69" s="122" t="str">
        <x:v>inventory</x:v>
      </x:c>
      <x:c r="C69" s="122" t="str">
        <x:v>允許匿名化摘要送至 LLM</x:v>
      </x:c>
      <x:c r="D69" s="122" t="str">
        <x:v>checkbox</x:v>
      </x:c>
      <x:c r="E69" s="122" t="str">
        <x:v>true</x:v>
      </x:c>
      <x:c r="F69" s="122" t="str"/>
      <x:c r="G69" s="122" t="str"/>
      <x:c r="H69" s="122" t="str"/>
      <x:c r="I69" s="122" t="str">
        <x:v>[]</x:v>
      </x:c>
      <x:c r="J69" s="122" t="str">
        <x:v>[]</x:v>
      </x:c>
      <x:c r="K69" s="122" t="n">
        <x:v>0</x:v>
      </x:c>
      <x:c r="L69" s="122" t="n">
        <x:v>1</x:v>
      </x:c>
      <x:c r="M69" s="122" t="str">
        <x:v>index.html</x:v>
      </x:c>
      <x:c r="N69" s="122" t="str">
        <x:v>敏感模式僅送出類別彙整</x:v>
      </x:c>
    </x:row>
    <x:row r="70" ht="34" customHeight="1">
      <x:c r="A70" s="121" t="str">
        <x:v>addInventoryRowBtn</x:v>
      </x:c>
      <x:c r="B70" s="121" t="str">
        <x:v>inventory</x:v>
      </x:c>
      <x:c r="C70" s="121" t="str">
        <x:v>新增資源列</x:v>
      </x:c>
      <x:c r="D70" s="121" t="str">
        <x:v>button</x:v>
      </x:c>
      <x:c r="E70" s="121" t="str"/>
      <x:c r="F70" s="121" t="str"/>
      <x:c r="G70" s="121" t="str"/>
      <x:c r="H70" s="121" t="str"/>
      <x:c r="I70" s="121" t="str">
        <x:v>[]</x:v>
      </x:c>
      <x:c r="J70" s="121" t="str">
        <x:v>[]</x:v>
      </x:c>
      <x:c r="K70" s="121" t="n">
        <x:v>0</x:v>
      </x:c>
      <x:c r="L70" s="121" t="n">
        <x:v>0</x:v>
      </x:c>
      <x:c r="M70" s="121" t="str">
        <x:v>index.html</x:v>
      </x:c>
      <x:c r="N70" s="121" t="str">
        <x:v>新增自訂資源列</x:v>
      </x:c>
    </x:row>
    <x:row r="71" ht="34" customHeight="1">
      <x:c r="A71" s="122" t="str">
        <x:v>loadInventoryTemplateBtn</x:v>
      </x:c>
      <x:c r="B71" s="122" t="str">
        <x:v>inventory</x:v>
      </x:c>
      <x:c r="C71" s="122" t="str">
        <x:v>載入 33 項教學範例</x:v>
      </x:c>
      <x:c r="D71" s="122" t="str">
        <x:v>button</x:v>
      </x:c>
      <x:c r="E71" s="122" t="str"/>
      <x:c r="F71" s="122" t="str"/>
      <x:c r="G71" s="122" t="str"/>
      <x:c r="H71" s="122" t="str"/>
      <x:c r="I71" s="122" t="str">
        <x:v>[]</x:v>
      </x:c>
      <x:c r="J71" s="122" t="str">
        <x:v>[]</x:v>
      </x:c>
      <x:c r="K71" s="122" t="n">
        <x:v>0</x:v>
      </x:c>
      <x:c r="L71" s="122" t="n">
        <x:v>0</x:v>
      </x:c>
      <x:c r="M71" s="122" t="str">
        <x:v>index.html</x:v>
      </x:c>
      <x:c r="N71" s="122" t="str">
        <x:v>重設為現行具名資源範本</x:v>
      </x:c>
    </x:row>
    <x:row r="72" ht="34" customHeight="1">
      <x:c r="A72" s="121" t="str">
        <x:v>inventoryCsvInput</x:v>
      </x:c>
      <x:c r="B72" s="121" t="str">
        <x:v>inventory</x:v>
      </x:c>
      <x:c r="C72" s="121" t="str">
        <x:v>匯入 CSV</x:v>
      </x:c>
      <x:c r="D72" s="121" t="str">
        <x:v>file</x:v>
      </x:c>
      <x:c r="E72" s="121" t="str"/>
      <x:c r="F72" s="121" t="str"/>
      <x:c r="G72" s="121" t="str"/>
      <x:c r="H72" s="121" t="str"/>
      <x:c r="I72" s="121" t="str">
        <x:v>[]</x:v>
      </x:c>
      <x:c r="J72" s="121" t="str">
        <x:v>[]</x:v>
      </x:c>
      <x:c r="K72" s="121" t="n">
        <x:v>0</x:v>
      </x:c>
      <x:c r="L72" s="121" t="n">
        <x:v>1</x:v>
      </x:c>
      <x:c r="M72" s="121" t="str">
        <x:v>index.html</x:v>
      </x:c>
      <x:c r="N72" s="121" t="str">
        <x:v>原始檔留在瀏覽器端處理</x:v>
      </x:c>
    </x:row>
    <x:row r="73" ht="34" customHeight="1">
      <x:c r="A73" s="122" t="str">
        <x:v>exportInventoryCsvBtn</x:v>
      </x:c>
      <x:c r="B73" s="122" t="str">
        <x:v>inventory</x:v>
      </x:c>
      <x:c r="C73" s="122" t="str">
        <x:v>匯出 CSV</x:v>
      </x:c>
      <x:c r="D73" s="122" t="str">
        <x:v>button</x:v>
      </x:c>
      <x:c r="E73" s="122" t="str"/>
      <x:c r="F73" s="122" t="str"/>
      <x:c r="G73" s="122" t="str"/>
      <x:c r="H73" s="122" t="str"/>
      <x:c r="I73" s="122" t="str">
        <x:v>[]</x:v>
      </x:c>
      <x:c r="J73" s="122" t="str">
        <x:v>[]</x:v>
      </x:c>
      <x:c r="K73" s="122" t="n">
        <x:v>0</x:v>
      </x:c>
      <x:c r="L73" s="122" t="n">
        <x:v>0</x:v>
      </x:c>
      <x:c r="M73" s="122" t="str">
        <x:v>index.html</x:v>
      </x:c>
      <x:c r="N73" s="122" t="str">
        <x:v>匯出目前資源表</x:v>
      </x:c>
    </x:row>
    <x:row r="74" ht="34" customHeight="1">
      <x:c r="A74" s="121" t="str">
        <x:v>operationToggleVisibilityBtn</x:v>
      </x:c>
      <x:c r="B74" s="121" t="str">
        <x:v>animation</x:v>
      </x:c>
      <x:c r="C74" s="121" t="str">
        <x:v>顯示／隱藏作戰示意動畫</x:v>
      </x:c>
      <x:c r="D74" s="121" t="str">
        <x:v>button</x:v>
      </x:c>
      <x:c r="E74" s="121" t="str"/>
      <x:c r="F74" s="121" t="str"/>
      <x:c r="G74" s="121" t="str"/>
      <x:c r="H74" s="121" t="str"/>
      <x:c r="I74" s="121" t="str">
        <x:v>[]</x:v>
      </x:c>
      <x:c r="J74" s="121" t="str">
        <x:v>[]</x:v>
      </x:c>
      <x:c r="K74" s="121" t="n">
        <x:v>0</x:v>
      </x:c>
      <x:c r="L74" s="121" t="n">
        <x:v>0</x:v>
      </x:c>
      <x:c r="M74" s="121" t="str">
        <x:v>index.html</x:v>
      </x:c>
      <x:c r="N74" s="121" t="str">
        <x:v>只改變畫面可見性</x:v>
      </x:c>
    </x:row>
    <x:row r="75" ht="34" customHeight="1">
      <x:c r="A75" s="122" t="str">
        <x:v>operationFullscreenBtn</x:v>
      </x:c>
      <x:c r="B75" s="122" t="str">
        <x:v>animation</x:v>
      </x:c>
      <x:c r="C75" s="122" t="str">
        <x:v>作戰示意動畫全螢幕</x:v>
      </x:c>
      <x:c r="D75" s="122" t="str">
        <x:v>button</x:v>
      </x:c>
      <x:c r="E75" s="122" t="str"/>
      <x:c r="F75" s="122" t="str"/>
      <x:c r="G75" s="122" t="str"/>
      <x:c r="H75" s="122" t="str"/>
      <x:c r="I75" s="122" t="str">
        <x:v>[]</x:v>
      </x:c>
      <x:c r="J75" s="122" t="str">
        <x:v>[]</x:v>
      </x:c>
      <x:c r="K75" s="122" t="n">
        <x:v>0</x:v>
      </x:c>
      <x:c r="L75" s="122" t="n">
        <x:v>0</x:v>
      </x:c>
      <x:c r="M75" s="122" t="str">
        <x:v>index.html</x:v>
      </x:c>
      <x:c r="N75" s="122" t="str">
        <x:v>全螢幕仍保留操作列</x:v>
      </x:c>
    </x:row>
    <x:row r="76" ht="34" customHeight="1">
      <x:c r="A76" s="121" t="str">
        <x:v>operationReplayBtn</x:v>
      </x:c>
      <x:c r="B76" s="121" t="str">
        <x:v>animation</x:v>
      </x:c>
      <x:c r="C76" s="121" t="str">
        <x:v>重播動畫</x:v>
      </x:c>
      <x:c r="D76" s="121" t="str">
        <x:v>button</x:v>
      </x:c>
      <x:c r="E76" s="121" t="str"/>
      <x:c r="F76" s="121" t="str"/>
      <x:c r="G76" s="121" t="str"/>
      <x:c r="H76" s="121" t="str"/>
      <x:c r="I76" s="121" t="str">
        <x:v>[]</x:v>
      </x:c>
      <x:c r="J76" s="121" t="str">
        <x:v>[]</x:v>
      </x:c>
      <x:c r="K76" s="121" t="n">
        <x:v>1</x:v>
      </x:c>
      <x:c r="L76" s="121" t="n">
        <x:v>0</x:v>
      </x:c>
      <x:c r="M76" s="121" t="str">
        <x:v>index.html</x:v>
      </x:c>
      <x:c r="N76" s="121" t="str">
        <x:v>有動畫後啟用</x:v>
      </x:c>
    </x:row>
    <x:row r="77" ht="34" customHeight="1">
      <x:c r="A77" s="122" t="str">
        <x:v>operationPauseBtn</x:v>
      </x:c>
      <x:c r="B77" s="122" t="str">
        <x:v>animation</x:v>
      </x:c>
      <x:c r="C77" s="122" t="str">
        <x:v>暫停／繼續動畫</x:v>
      </x:c>
      <x:c r="D77" s="122" t="str">
        <x:v>button</x:v>
      </x:c>
      <x:c r="E77" s="122" t="str"/>
      <x:c r="F77" s="122" t="str"/>
      <x:c r="G77" s="122" t="str"/>
      <x:c r="H77" s="122" t="str"/>
      <x:c r="I77" s="122" t="str">
        <x:v>[]</x:v>
      </x:c>
      <x:c r="J77" s="122" t="str">
        <x:v>[]</x:v>
      </x:c>
      <x:c r="K77" s="122" t="n">
        <x:v>1</x:v>
      </x:c>
      <x:c r="L77" s="122" t="n">
        <x:v>0</x:v>
      </x:c>
      <x:c r="M77" s="122" t="str">
        <x:v>index.html</x:v>
      </x:c>
      <x:c r="N77" s="122" t="str">
        <x:v>有動畫後啟用</x:v>
      </x:c>
    </x:row>
    <x:row r="78" ht="34" customHeight="1">
      <x:c r="A78" s="121" t="str">
        <x:v>operationSpeed</x:v>
      </x:c>
      <x:c r="B78" s="121" t="str">
        <x:v>animation</x:v>
      </x:c>
      <x:c r="C78" s="121" t="str">
        <x:v>動畫速度</x:v>
      </x:c>
      <x:c r="D78" s="121" t="str">
        <x:v>select</x:v>
      </x:c>
      <x:c r="E78" s="121" t="str">
        <x:v>1</x:v>
      </x:c>
      <x:c r="F78" s="121" t="str"/>
      <x:c r="G78" s="121" t="str"/>
      <x:c r="H78" s="121" t="str"/>
      <x:c r="I78" s="121" t="str">
        <x:v>["0.75","1","1.5"]</x:v>
      </x:c>
      <x:c r="J78" s="121" t="str">
        <x:v>["0.75×","1×","1.5×"]</x:v>
      </x:c>
      <x:c r="K78" s="121" t="n">
        <x:v>0</x:v>
      </x:c>
      <x:c r="L78" s="121" t="n">
        <x:v>0</x:v>
      </x:c>
      <x:c r="M78" s="121" t="str">
        <x:v>index.html</x:v>
      </x:c>
      <x:c r="N78" s="121" t="str">
        <x:v>控制動畫時間倍率</x:v>
      </x:c>
    </x:row>
    <x:row r="79" ht="34" customHeight="1">
      <x:c r="A79" s="122" t="str">
        <x:v>resolveTurnBtn</x:v>
      </x:c>
      <x:c r="B79" s="122" t="str">
        <x:v>turn</x:v>
      </x:c>
      <x:c r="C79" s="122" t="str">
        <x:v>結算本回合</x:v>
      </x:c>
      <x:c r="D79" s="122" t="str">
        <x:v>button</x:v>
      </x:c>
      <x:c r="E79" s="122" t="str"/>
      <x:c r="F79" s="122" t="str"/>
      <x:c r="G79" s="122" t="str"/>
      <x:c r="H79" s="122" t="str"/>
      <x:c r="I79" s="122" t="str">
        <x:v>[]</x:v>
      </x:c>
      <x:c r="J79" s="122" t="str">
        <x:v>[]</x:v>
      </x:c>
      <x:c r="K79" s="122" t="n">
        <x:v>0</x:v>
      </x:c>
      <x:c r="L79" s="122" t="n">
        <x:v>0</x:v>
      </x:c>
      <x:c r="M79" s="122" t="str">
        <x:v>index.html</x:v>
      </x:c>
      <x:c r="N79" s="122" t="str">
        <x:v>位於左側垂直導覽列最下方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0db44f27ad7453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5" customWidth="1"/>
    <x:col min="2" max="2" width="12" customWidth="1"/>
    <x:col min="3" max="3" width="16" customWidth="1"/>
    <x:col min="4" max="4" width="32" customWidth="1"/>
    <x:col min="5" max="7" width="11" customWidth="1"/>
    <x:col min="8" max="8" width="14" customWidth="1"/>
    <x:col min="9" max="9" width="42" customWidth="1"/>
    <x:col min="10" max="10" width="24" customWidth="1"/>
  </x:cols>
  <x:sheetData>
    <x:row r="1" ht="26" customHeight="1">
      <x:c r="A1" s="18" t="s">
        <x:v>758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3" ht="30" customHeight="1">
      <x:c r="A3" s="9" t="s">
        <x:v>759</x:v>
      </x:c>
      <x:c r="B3" s="9" t="s">
        <x:v>84</x:v>
      </x:c>
      <x:c r="C3" s="9" t="s">
        <x:v>760</x:v>
      </x:c>
      <x:c r="D3" s="9" t="s">
        <x:v>761</x:v>
      </x:c>
      <x:c r="E3" s="9" t="s">
        <x:v>762</x:v>
      </x:c>
      <x:c r="F3" s="9" t="s">
        <x:v>763</x:v>
      </x:c>
      <x:c r="G3" s="9" t="s">
        <x:v>764</x:v>
      </x:c>
      <x:c r="H3" s="9" t="s">
        <x:v>660</x:v>
      </x:c>
      <x:c r="I3" s="9" t="s">
        <x:v>765</x:v>
      </x:c>
      <x:c r="J3" s="9" t="s">
        <x:v>766</x:v>
      </x:c>
    </x:row>
    <x:row r="4">
      <x:c r="A4" s="10" t="s">
        <x:v>767</x:v>
      </x:c>
      <x:c r="B4" s="10" t="s">
        <x:v>90</x:v>
      </x:c>
      <x:c r="C4" s="10" t="s">
        <x:v>180</x:v>
      </x:c>
      <x:c r="D4" s="10" t="s">
        <x:v>768</x:v>
      </x:c>
      <x:c r="E4" s="10">
        <x:v>48</x:v>
      </x:c>
      <x:c r="F4" s="10">
        <x:v>0</x:v>
      </x:c>
      <x:c r="G4" s="10">
        <x:v>240</x:v>
      </x:c>
      <x:c r="H4" s="10" t="s">
        <x:v>769</x:v>
      </x:c>
      <x:c r="I4" s="10" t="s">
        <x:v>770</x:v>
      </x:c>
      <x:c r="J4" s="10" t="s">
        <x:v>45</x:v>
      </x:c>
    </x:row>
    <x:row r="5">
      <x:c r="A5" s="11" t="s">
        <x:v>771</x:v>
      </x:c>
      <x:c r="B5" s="11" t="s">
        <x:v>90</x:v>
      </x:c>
      <x:c r="C5" s="11" t="s">
        <x:v>175</x:v>
      </x:c>
      <x:c r="D5" s="11" t="s">
        <x:v>772</x:v>
      </x:c>
      <x:c r="E5" s="11">
        <x:v>160</x:v>
      </x:c>
      <x:c r="F5" s="11">
        <x:v>0</x:v>
      </x:c>
      <x:c r="G5" s="11">
        <x:v>600</x:v>
      </x:c>
      <x:c r="H5" s="11" t="s">
        <x:v>769</x:v>
      </x:c>
      <x:c r="I5" s="11" t="s">
        <x:v>770</x:v>
      </x:c>
      <x:c r="J5" s="11" t="s">
        <x:v>45</x:v>
      </x:c>
    </x:row>
    <x:row r="6">
      <x:c r="A6" s="10" t="s">
        <x:v>773</x:v>
      </x:c>
      <x:c r="B6" s="10" t="s">
        <x:v>90</x:v>
      </x:c>
      <x:c r="C6" s="10" t="s">
        <x:v>774</x:v>
      </x:c>
      <x:c r="D6" s="10" t="s">
        <x:v>775</x:v>
      </x:c>
      <x:c r="E6" s="10">
        <x:v>14</x:v>
      </x:c>
      <x:c r="F6" s="10">
        <x:v>0</x:v>
      </x:c>
      <x:c r="G6" s="10">
        <x:v>80</x:v>
      </x:c>
      <x:c r="H6" s="10" t="s">
        <x:v>769</x:v>
      </x:c>
      <x:c r="I6" s="10" t="s">
        <x:v>770</x:v>
      </x:c>
      <x:c r="J6" s="10" t="s">
        <x:v>45</x:v>
      </x:c>
    </x:row>
    <x:row r="7">
      <x:c r="A7" s="11" t="s">
        <x:v>776</x:v>
      </x:c>
      <x:c r="B7" s="11" t="s">
        <x:v>90</x:v>
      </x:c>
      <x:c r="C7" s="11" t="s">
        <x:v>188</x:v>
      </x:c>
      <x:c r="D7" s="11" t="s">
        <x:v>777</x:v>
      </x:c>
      <x:c r="E7" s="11">
        <x:v>72</x:v>
      </x:c>
      <x:c r="F7" s="11">
        <x:v>0</x:v>
      </x:c>
      <x:c r="G7" s="11">
        <x:v>240</x:v>
      </x:c>
      <x:c r="H7" s="11" t="s">
        <x:v>769</x:v>
      </x:c>
      <x:c r="I7" s="11" t="s">
        <x:v>770</x:v>
      </x:c>
      <x:c r="J7" s="11" t="s">
        <x:v>45</x:v>
      </x:c>
    </x:row>
    <x:row r="8">
      <x:c r="A8" s="10" t="s">
        <x:v>778</x:v>
      </x:c>
      <x:c r="B8" s="10" t="s">
        <x:v>90</x:v>
      </x:c>
      <x:c r="C8" s="10" t="s">
        <x:v>222</x:v>
      </x:c>
      <x:c r="D8" s="10" t="s">
        <x:v>779</x:v>
      </x:c>
      <x:c r="E8" s="10">
        <x:v>120</x:v>
      </x:c>
      <x:c r="F8" s="10">
        <x:v>0</x:v>
      </x:c>
      <x:c r="G8" s="10">
        <x:v>1000</x:v>
      </x:c>
      <x:c r="H8" s="10" t="s">
        <x:v>769</x:v>
      </x:c>
      <x:c r="I8" s="10" t="s">
        <x:v>780</x:v>
      </x:c>
      <x:c r="J8" s="10" t="s">
        <x:v>45</x:v>
      </x:c>
    </x:row>
    <x:row r="9">
      <x:c r="A9" s="11" t="s">
        <x:v>781</x:v>
      </x:c>
      <x:c r="B9" s="11" t="s">
        <x:v>90</x:v>
      </x:c>
      <x:c r="C9" s="11" t="s">
        <x:v>225</x:v>
      </x:c>
      <x:c r="D9" s="11" t="s">
        <x:v>782</x:v>
      </x:c>
      <x:c r="E9" s="11">
        <x:v>24</x:v>
      </x:c>
      <x:c r="F9" s="11">
        <x:v>0</x:v>
      </x:c>
      <x:c r="G9" s="11">
        <x:v>200</x:v>
      </x:c>
      <x:c r="H9" s="11" t="s">
        <x:v>769</x:v>
      </x:c>
      <x:c r="I9" s="11" t="s">
        <x:v>783</x:v>
      </x:c>
      <x:c r="J9" s="11" t="s">
        <x:v>45</x:v>
      </x:c>
    </x:row>
    <x:row r="10">
      <x:c r="A10" s="10" t="s">
        <x:v>784</x:v>
      </x:c>
      <x:c r="B10" s="10" t="s">
        <x:v>90</x:v>
      </x:c>
      <x:c r="C10" s="10" t="s">
        <x:v>228</x:v>
      </x:c>
      <x:c r="D10" s="10" t="s">
        <x:v>785</x:v>
      </x:c>
      <x:c r="E10" s="10">
        <x:v>6</x:v>
      </x:c>
      <x:c r="F10" s="10">
        <x:v>0</x:v>
      </x:c>
      <x:c r="G10" s="10">
        <x:v>50</x:v>
      </x:c>
      <x:c r="H10" s="10" t="s">
        <x:v>769</x:v>
      </x:c>
      <x:c r="I10" s="10" t="s">
        <x:v>783</x:v>
      </x:c>
      <x:c r="J10" s="10" t="s">
        <x:v>45</x:v>
      </x:c>
    </x:row>
    <x:row r="11">
      <x:c r="A11" s="11" t="s">
        <x:v>786</x:v>
      </x:c>
      <x:c r="B11" s="11" t="s">
        <x:v>96</x:v>
      </x:c>
      <x:c r="C11" s="11" t="s">
        <x:v>180</x:v>
      </x:c>
      <x:c r="D11" s="11" t="s">
        <x:v>787</x:v>
      </x:c>
      <x:c r="E11" s="11">
        <x:v>96</x:v>
      </x:c>
      <x:c r="F11" s="11">
        <x:v>0</x:v>
      </x:c>
      <x:c r="G11" s="11">
        <x:v>360</x:v>
      </x:c>
      <x:c r="H11" s="11" t="s">
        <x:v>769</x:v>
      </x:c>
      <x:c r="I11" s="11" t="s">
        <x:v>788</x:v>
      </x:c>
      <x:c r="J11" s="11" t="s">
        <x:v>45</x:v>
      </x:c>
    </x:row>
    <x:row r="12">
      <x:c r="A12" s="10" t="s">
        <x:v>789</x:v>
      </x:c>
      <x:c r="B12" s="10" t="s">
        <x:v>96</x:v>
      </x:c>
      <x:c r="C12" s="10" t="s">
        <x:v>790</x:v>
      </x:c>
      <x:c r="D12" s="10" t="s">
        <x:v>791</x:v>
      </x:c>
      <x:c r="E12" s="10">
        <x:v>180</x:v>
      </x:c>
      <x:c r="F12" s="10">
        <x:v>0</x:v>
      </x:c>
      <x:c r="G12" s="10">
        <x:v>600</x:v>
      </x:c>
      <x:c r="H12" s="10" t="s">
        <x:v>769</x:v>
      </x:c>
      <x:c r="I12" s="10" t="s">
        <x:v>788</x:v>
      </x:c>
      <x:c r="J12" s="10" t="s">
        <x:v>45</x:v>
      </x:c>
    </x:row>
    <x:row r="13">
      <x:c r="A13" s="11" t="s">
        <x:v>792</x:v>
      </x:c>
      <x:c r="B13" s="11" t="s">
        <x:v>96</x:v>
      </x:c>
      <x:c r="C13" s="11" t="s">
        <x:v>774</x:v>
      </x:c>
      <x:c r="D13" s="11" t="s">
        <x:v>793</x:v>
      </x:c>
      <x:c r="E13" s="11">
        <x:v>24</x:v>
      </x:c>
      <x:c r="F13" s="11">
        <x:v>0</x:v>
      </x:c>
      <x:c r="G13" s="11">
        <x:v>100</x:v>
      </x:c>
      <x:c r="H13" s="11" t="s">
        <x:v>769</x:v>
      </x:c>
      <x:c r="I13" s="11" t="s">
        <x:v>788</x:v>
      </x:c>
      <x:c r="J13" s="11" t="s">
        <x:v>45</x:v>
      </x:c>
    </x:row>
    <x:row r="14">
      <x:c r="A14" s="10" t="s">
        <x:v>794</x:v>
      </x:c>
      <x:c r="B14" s="10" t="s">
        <x:v>96</x:v>
      </x:c>
      <x:c r="C14" s="10" t="s">
        <x:v>188</x:v>
      </x:c>
      <x:c r="D14" s="10" t="s">
        <x:v>795</x:v>
      </x:c>
      <x:c r="E14" s="10">
        <x:v>84</x:v>
      </x:c>
      <x:c r="F14" s="10">
        <x:v>0</x:v>
      </x:c>
      <x:c r="G14" s="10">
        <x:v>240</x:v>
      </x:c>
      <x:c r="H14" s="10" t="s">
        <x:v>769</x:v>
      </x:c>
      <x:c r="I14" s="10" t="s">
        <x:v>788</x:v>
      </x:c>
      <x:c r="J14" s="10" t="s">
        <x:v>45</x:v>
      </x:c>
    </x:row>
  </x:sheetData>
  <x:mergeCells>
    <x:mergeCell ref="A1:J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12" customWidth="1"/>
    <x:col min="3" max="3" width="31" hidden="0" customWidth="1"/>
    <x:col min="4" max="5" width="13" customWidth="1"/>
    <x:col min="6" max="7" width="12" customWidth="1"/>
    <x:col min="8" max="8" width="15" customWidth="1"/>
    <x:col min="9" max="9" width="24" customWidth="1"/>
    <x:col min="10" max="10" width="56" hidden="0" customWidth="1"/>
  </x:cols>
  <x:sheetData>
    <x:row r="1" ht="26" customHeight="1">
      <x:c r="A1" s="18" t="s">
        <x:v>796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3" ht="30" customHeight="1">
      <x:c r="A3" s="9" t="s">
        <x:v>797</x:v>
      </x:c>
      <x:c r="B3" s="9" t="s">
        <x:v>84</x:v>
      </x:c>
      <x:c r="C3" s="9" t="s">
        <x:v>798</x:v>
      </x:c>
      <x:c r="D3" s="9" t="s">
        <x:v>799</x:v>
      </x:c>
      <x:c r="E3" s="9" t="s">
        <x:v>800</x:v>
      </x:c>
      <x:c r="F3" s="9" t="s">
        <x:v>801</x:v>
      </x:c>
      <x:c r="G3" s="9" t="s">
        <x:v>802</x:v>
      </x:c>
      <x:c r="H3" s="9" t="s">
        <x:v>803</x:v>
      </x:c>
      <x:c r="I3" s="9" t="s">
        <x:v>766</x:v>
      </x:c>
      <x:c r="J3" s="9" t="s">
        <x:v>804</x:v>
      </x:c>
    </x:row>
    <x:row r="4">
      <x:c r="A4" s="10" t="s">
        <x:v>805</x:v>
      </x:c>
      <x:c r="B4" s="10" t="s">
        <x:v>90</x:v>
      </x:c>
      <x:c r="C4" s="19" t="s">
        <x:v>492</x:v>
      </x:c>
      <x:c r="D4" s="10">
        <x:v>2</x:v>
      </x:c>
      <x:c r="E4" s="10">
        <x:v>0</x:v>
      </x:c>
      <x:c r="F4" s="10">
        <x:v>1</x:v>
      </x:c>
      <x:c r="G4" s="10">
        <x:v>1</x:v>
      </x:c>
      <x:c r="H4" s="10">
        <x:v>1</x:v>
      </x:c>
      <x:c r="I4" s="10" t="s">
        <x:v>45</x:v>
      </x:c>
      <x:c r="J4" s="19" t="s">
        <x:v>806</x:v>
      </x:c>
    </x:row>
    <x:row r="5">
      <x:c r="A5" s="11" t="s">
        <x:v>807</x:v>
      </x:c>
      <x:c r="B5" s="11" t="s">
        <x:v>90</x:v>
      </x:c>
      <x:c r="C5" s="20" t="s">
        <x:v>456</x:v>
      </x:c>
      <x:c r="D5" s="11">
        <x:v>0</x:v>
      </x:c>
      <x:c r="E5" s="11">
        <x:v>-1</x:v>
      </x:c>
      <x:c r="F5" s="11">
        <x:v>1</x:v>
      </x:c>
      <x:c r="G5" s="11">
        <x:v>0</x:v>
      </x:c>
      <x:c r="H5" s="11">
        <x:v>-3</x:v>
      </x:c>
      <x:c r="I5" s="11" t="s">
        <x:v>45</x:v>
      </x:c>
      <x:c r="J5" s="20" t="s">
        <x:v>806</x:v>
      </x:c>
    </x:row>
    <x:row r="6">
      <x:c r="A6" s="10" t="s">
        <x:v>808</x:v>
      </x:c>
      <x:c r="B6" s="10" t="s">
        <x:v>90</x:v>
      </x:c>
      <x:c r="C6" s="19" t="s">
        <x:v>467</x:v>
      </x:c>
      <x:c r="D6" s="10">
        <x:v>1</x:v>
      </x:c>
      <x:c r="E6" s="10">
        <x:v>-1</x:v>
      </x:c>
      <x:c r="F6" s="10">
        <x:v>0</x:v>
      </x:c>
      <x:c r="G6" s="10">
        <x:v>0</x:v>
      </x:c>
      <x:c r="H6" s="10">
        <x:v>0</x:v>
      </x:c>
      <x:c r="I6" s="10" t="s">
        <x:v>45</x:v>
      </x:c>
      <x:c r="J6" s="19" t="s">
        <x:v>806</x:v>
      </x:c>
    </x:row>
    <x:row r="7">
      <x:c r="A7" s="11" t="s">
        <x:v>809</x:v>
      </x:c>
      <x:c r="B7" s="11" t="s">
        <x:v>90</x:v>
      </x:c>
      <x:c r="C7" s="20" t="s">
        <x:v>483</x:v>
      </x:c>
      <x:c r="D7" s="11">
        <x:v>0</x:v>
      </x:c>
      <x:c r="E7" s="11">
        <x:v>0</x:v>
      </x:c>
      <x:c r="F7" s="11">
        <x:v>4</x:v>
      </x:c>
      <x:c r="G7" s="11">
        <x:v>1</x:v>
      </x:c>
      <x:c r="H7" s="11">
        <x:v>0</x:v>
      </x:c>
      <x:c r="I7" s="11" t="s">
        <x:v>45</x:v>
      </x:c>
      <x:c r="J7" s="20" t="s">
        <x:v>806</x:v>
      </x:c>
    </x:row>
    <x:row r="8">
      <x:c r="A8" s="10" t="s">
        <x:v>810</x:v>
      </x:c>
      <x:c r="B8" s="10" t="s">
        <x:v>90</x:v>
      </x:c>
      <x:c r="C8" s="19" t="s">
        <x:v>512</x:v>
      </x:c>
      <x:c r="D8" s="10">
        <x:v>1</x:v>
      </x:c>
      <x:c r="E8" s="10">
        <x:v>5</x:v>
      </x:c>
      <x:c r="F8" s="10">
        <x:v>0</x:v>
      </x:c>
      <x:c r="G8" s="10">
        <x:v>0</x:v>
      </x:c>
      <x:c r="H8" s="10">
        <x:v>0</x:v>
      </x:c>
      <x:c r="I8" s="10" t="s">
        <x:v>45</x:v>
      </x:c>
      <x:c r="J8" s="19" t="s">
        <x:v>806</x:v>
      </x:c>
    </x:row>
    <x:row r="9">
      <x:c r="A9" s="11" t="s">
        <x:v>811</x:v>
      </x:c>
      <x:c r="B9" s="11" t="s">
        <x:v>90</x:v>
      </x:c>
      <x:c r="C9" s="20" t="s">
        <x:v>475</x:v>
      </x:c>
      <x:c r="D9" s="11">
        <x:v>0</x:v>
      </x:c>
      <x:c r="E9" s="11">
        <x:v>0</x:v>
      </x:c>
      <x:c r="F9" s="11">
        <x:v>1</x:v>
      </x:c>
      <x:c r="G9" s="11">
        <x:v>5</x:v>
      </x:c>
      <x:c r="H9" s="11">
        <x:v>0</x:v>
      </x:c>
      <x:c r="I9" s="11" t="s">
        <x:v>45</x:v>
      </x:c>
      <x:c r="J9" s="20" t="s">
        <x:v>806</x:v>
      </x:c>
    </x:row>
    <x:row r="10">
      <x:c r="A10" s="10" t="s">
        <x:v>812</x:v>
      </x:c>
      <x:c r="B10" s="10" t="s">
        <x:v>90</x:v>
      </x:c>
      <x:c r="C10" s="19" t="s">
        <x:v>813</x:v>
      </x:c>
      <x:c r="D10" s="10">
        <x:v>1</x:v>
      </x:c>
      <x:c r="E10" s="10">
        <x:v>-1</x:v>
      </x:c>
      <x:c r="F10" s="10">
        <x:v>2</x:v>
      </x:c>
      <x:c r="G10" s="10">
        <x:v>5</x:v>
      </x:c>
      <x:c r="H10" s="10">
        <x:v>0</x:v>
      </x:c>
      <x:c r="I10" s="10" t="s">
        <x:v>45</x:v>
      </x:c>
      <x:c r="J10" s="19" t="s">
        <x:v>806</x:v>
      </x:c>
    </x:row>
    <x:row r="11">
      <x:c r="A11" s="11" t="s">
        <x:v>814</x:v>
      </x:c>
      <x:c r="B11" s="11" t="s">
        <x:v>90</x:v>
      </x:c>
      <x:c r="C11" s="20" t="s">
        <x:v>815</x:v>
      </x:c>
      <x:c r="D11" s="11">
        <x:v>1</x:v>
      </x:c>
      <x:c r="E11" s="11">
        <x:v>-1</x:v>
      </x:c>
      <x:c r="F11" s="11">
        <x:v>6</x:v>
      </x:c>
      <x:c r="G11" s="11">
        <x:v>2</x:v>
      </x:c>
      <x:c r="H11" s="11">
        <x:v>0</x:v>
      </x:c>
      <x:c r="I11" s="11" t="s">
        <x:v>45</x:v>
      </x:c>
      <x:c r="J11" s="20" t="s">
        <x:v>806</x:v>
      </x:c>
    </x:row>
    <x:row r="12">
      <x:c r="A12" s="10" t="s">
        <x:v>816</x:v>
      </x:c>
      <x:c r="B12" s="10" t="s">
        <x:v>90</x:v>
      </x:c>
      <x:c r="C12" s="19" t="s">
        <x:v>817</x:v>
      </x:c>
      <x:c r="D12" s="10">
        <x:v>-1</x:v>
      </x:c>
      <x:c r="E12" s="10">
        <x:v>4</x:v>
      </x:c>
      <x:c r="F12" s="10">
        <x:v>2</x:v>
      </x:c>
      <x:c r="G12" s="10">
        <x:v>0</x:v>
      </x:c>
      <x:c r="H12" s="10">
        <x:v>-3</x:v>
      </x:c>
      <x:c r="I12" s="10" t="s">
        <x:v>45</x:v>
      </x:c>
      <x:c r="J12" s="19" t="s">
        <x:v>806</x:v>
      </x:c>
    </x:row>
    <x:row r="13">
      <x:c r="A13" s="11" t="s">
        <x:v>818</x:v>
      </x:c>
      <x:c r="B13" s="11" t="s">
        <x:v>90</x:v>
      </x:c>
      <x:c r="C13" s="20" t="s">
        <x:v>819</x:v>
      </x:c>
      <x:c r="D13" s="11">
        <x:v>0</x:v>
      </x:c>
      <x:c r="E13" s="11">
        <x:v>3</x:v>
      </x:c>
      <x:c r="F13" s="11">
        <x:v>2</x:v>
      </x:c>
      <x:c r="G13" s="11">
        <x:v>0</x:v>
      </x:c>
      <x:c r="H13" s="11">
        <x:v>-4</x:v>
      </x:c>
      <x:c r="I13" s="11" t="s">
        <x:v>45</x:v>
      </x:c>
      <x:c r="J13" s="20" t="s">
        <x:v>806</x:v>
      </x:c>
    </x:row>
    <x:row r="14">
      <x:c r="A14" s="10" t="s">
        <x:v>820</x:v>
      </x:c>
      <x:c r="B14" s="10" t="s">
        <x:v>96</x:v>
      </x:c>
      <x:c r="C14" s="19" t="s">
        <x:v>522</x:v>
      </x:c>
      <x:c r="D14" s="10">
        <x:v>-1</x:v>
      </x:c>
      <x:c r="E14" s="10">
        <x:v>0</x:v>
      </x:c>
      <x:c r="F14" s="10">
        <x:v>1</x:v>
      </x:c>
      <x:c r="G14" s="10">
        <x:v>0</x:v>
      </x:c>
      <x:c r="H14" s="10">
        <x:v>3</x:v>
      </x:c>
      <x:c r="I14" s="10" t="s">
        <x:v>45</x:v>
      </x:c>
      <x:c r="J14" s="19" t="s">
        <x:v>806</x:v>
      </x:c>
    </x:row>
    <x:row r="15">
      <x:c r="A15" s="11" t="s">
        <x:v>821</x:v>
      </x:c>
      <x:c r="B15" s="11" t="s">
        <x:v>96</x:v>
      </x:c>
      <x:c r="C15" s="20" t="s">
        <x:v>529</x:v>
      </x:c>
      <x:c r="D15" s="11">
        <x:v>0</x:v>
      </x:c>
      <x:c r="E15" s="11">
        <x:v>-1</x:v>
      </x:c>
      <x:c r="F15" s="11">
        <x:v>0</x:v>
      </x:c>
      <x:c r="G15" s="11">
        <x:v>1</x:v>
      </x:c>
      <x:c r="H15" s="11">
        <x:v>4</x:v>
      </x:c>
      <x:c r="I15" s="11" t="s">
        <x:v>45</x:v>
      </x:c>
      <x:c r="J15" s="20" t="s">
        <x:v>806</x:v>
      </x:c>
    </x:row>
    <x:row r="16">
      <x:c r="A16" s="10" t="s">
        <x:v>822</x:v>
      </x:c>
      <x:c r="B16" s="10" t="s">
        <x:v>96</x:v>
      </x:c>
      <x:c r="C16" s="19" t="s">
        <x:v>515</x:v>
      </x:c>
      <x:c r="D16" s="10">
        <x:v>0</x:v>
      </x:c>
      <x:c r="E16" s="10">
        <x:v>0</x:v>
      </x:c>
      <x:c r="F16" s="10">
        <x:v>2</x:v>
      </x:c>
      <x:c r="G16" s="10">
        <x:v>2</x:v>
      </x:c>
      <x:c r="H16" s="10">
        <x:v>2</x:v>
      </x:c>
      <x:c r="I16" s="10" t="s">
        <x:v>45</x:v>
      </x:c>
      <x:c r="J16" s="19" t="s">
        <x:v>806</x:v>
      </x:c>
    </x:row>
    <x:row r="17">
      <x:c r="A17" s="11" t="s">
        <x:v>823</x:v>
      </x:c>
      <x:c r="B17" s="11" t="s">
        <x:v>96</x:v>
      </x:c>
      <x:c r="C17" s="20" t="s">
        <x:v>461</x:v>
      </x:c>
      <x:c r="D17" s="11">
        <x:v>-2</x:v>
      </x:c>
      <x:c r="E17" s="11">
        <x:v>0</x:v>
      </x:c>
      <x:c r="F17" s="11">
        <x:v>0</x:v>
      </x:c>
      <x:c r="G17" s="11">
        <x:v>0</x:v>
      </x:c>
      <x:c r="H17" s="11">
        <x:v>6</x:v>
      </x:c>
      <x:c r="I17" s="11" t="s">
        <x:v>45</x:v>
      </x:c>
      <x:c r="J17" s="20" t="s">
        <x:v>806</x:v>
      </x:c>
    </x:row>
    <x:row r="18">
      <x:c r="A18" s="10" t="s">
        <x:v>824</x:v>
      </x:c>
      <x:c r="B18" s="10" t="s">
        <x:v>96</x:v>
      </x:c>
      <x:c r="C18" s="19" t="s">
        <x:v>486</x:v>
      </x:c>
      <x:c r="D18" s="10">
        <x:v>0</x:v>
      </x:c>
      <x:c r="E18" s="10">
        <x:v>1</x:v>
      </x:c>
      <x:c r="F18" s="10">
        <x:v>1</x:v>
      </x:c>
      <x:c r="G18" s="10">
        <x:v>0</x:v>
      </x:c>
      <x:c r="H18" s="10">
        <x:v>3</x:v>
      </x:c>
      <x:c r="I18" s="10" t="s">
        <x:v>45</x:v>
      </x:c>
      <x:c r="J18" s="19" t="s">
        <x:v>806</x:v>
      </x:c>
    </x:row>
    <x:row r="19">
      <x:c r="A19" s="11" t="s">
        <x:v>825</x:v>
      </x:c>
      <x:c r="B19" s="11" t="s">
        <x:v>96</x:v>
      </x:c>
      <x:c r="C19" s="20" t="s">
        <x:v>478</x:v>
      </x:c>
      <x:c r="D19" s="11">
        <x:v>0</x:v>
      </x:c>
      <x:c r="E19" s="11">
        <x:v>0</x:v>
      </x:c>
      <x:c r="F19" s="11">
        <x:v>1</x:v>
      </x:c>
      <x:c r="G19" s="11">
        <x:v>2</x:v>
      </x:c>
      <x:c r="H19" s="11">
        <x:v>-1</x:v>
      </x:c>
      <x:c r="I19" s="11" t="s">
        <x:v>45</x:v>
      </x:c>
      <x:c r="J19" s="20" t="s">
        <x:v>806</x:v>
      </x:c>
    </x:row>
    <x:row r="20">
      <x:c r="A20" s="10" t="s">
        <x:v>826</x:v>
      </x:c>
      <x:c r="B20" s="10" t="s">
        <x:v>96</x:v>
      </x:c>
      <x:c r="C20" s="19" t="s">
        <x:v>827</x:v>
      </x:c>
      <x:c r="D20" s="10">
        <x:v>0</x:v>
      </x:c>
      <x:c r="E20" s="10">
        <x:v>1</x:v>
      </x:c>
      <x:c r="F20" s="10">
        <x:v>1</x:v>
      </x:c>
      <x:c r="G20" s="10">
        <x:v>2</x:v>
      </x:c>
      <x:c r="H20" s="10">
        <x:v>5</x:v>
      </x:c>
      <x:c r="I20" s="10" t="s">
        <x:v>45</x:v>
      </x:c>
      <x:c r="J20" s="19" t="s">
        <x:v>806</x:v>
      </x:c>
    </x:row>
    <x:row r="21">
      <x:c r="A21" s="11" t="s">
        <x:v>828</x:v>
      </x:c>
      <x:c r="B21" s="11" t="s">
        <x:v>101</x:v>
      </x:c>
      <x:c r="C21" s="20" t="s">
        <x:v>829</x:v>
      </x:c>
      <x:c r="D21" s="11">
        <x:v>0</x:v>
      </x:c>
      <x:c r="E21" s="11">
        <x:v>0</x:v>
      </x:c>
      <x:c r="F21" s="11">
        <x:v>1</x:v>
      </x:c>
      <x:c r="G21" s="11">
        <x:v>6</x:v>
      </x:c>
      <x:c r="H21" s="11">
        <x:v>0</x:v>
      </x:c>
      <x:c r="I21" s="11" t="s">
        <x:v>45</x:v>
      </x:c>
      <x:c r="J21" s="20" t="s">
        <x:v>806</x:v>
      </x:c>
    </x:row>
    <x:row r="22">
      <x:c r="A22" s="10" t="s">
        <x:v>830</x:v>
      </x:c>
      <x:c r="B22" s="10" t="s">
        <x:v>101</x:v>
      </x:c>
      <x:c r="C22" s="19" t="s">
        <x:v>831</x:v>
      </x:c>
      <x:c r="D22" s="10">
        <x:v>1</x:v>
      </x:c>
      <x:c r="E22" s="10">
        <x:v>6</x:v>
      </x:c>
      <x:c r="F22" s="10">
        <x:v>0</x:v>
      </x:c>
      <x:c r="G22" s="10">
        <x:v>0</x:v>
      </x:c>
      <x:c r="H22" s="10">
        <x:v>0</x:v>
      </x:c>
      <x:c r="I22" s="10" t="s">
        <x:v>45</x:v>
      </x:c>
      <x:c r="J22" s="19" t="s">
        <x:v>806</x:v>
      </x:c>
    </x:row>
    <x:row r="23">
      <x:c r="A23" s="11" t="s">
        <x:v>832</x:v>
      </x:c>
      <x:c r="B23" s="11" t="s">
        <x:v>101</x:v>
      </x:c>
      <x:c r="C23" s="20" t="s">
        <x:v>489</x:v>
      </x:c>
      <x:c r="D23" s="11">
        <x:v>1</x:v>
      </x:c>
      <x:c r="E23" s="11">
        <x:v>0</x:v>
      </x:c>
      <x:c r="F23" s="11">
        <x:v>5</x:v>
      </x:c>
      <x:c r="G23" s="11">
        <x:v>1</x:v>
      </x:c>
      <x:c r="H23" s="11">
        <x:v>0</x:v>
      </x:c>
      <x:c r="I23" s="11" t="s">
        <x:v>45</x:v>
      </x:c>
      <x:c r="J23" s="20" t="s">
        <x:v>806</x:v>
      </x:c>
    </x:row>
    <x:row r="24">
      <x:c r="A24" s="10" t="s">
        <x:v>833</x:v>
      </x:c>
      <x:c r="B24" s="10" t="s">
        <x:v>101</x:v>
      </x:c>
      <x:c r="C24" s="19" t="s">
        <x:v>464</x:v>
      </x:c>
      <x:c r="D24" s="10">
        <x:v>0</x:v>
      </x:c>
      <x:c r="E24" s="10">
        <x:v>0</x:v>
      </x:c>
      <x:c r="F24" s="10">
        <x:v>2</x:v>
      </x:c>
      <x:c r="G24" s="10">
        <x:v>1</x:v>
      </x:c>
      <x:c r="H24" s="10">
        <x:v>-3</x:v>
      </x:c>
      <x:c r="I24" s="10" t="s">
        <x:v>45</x:v>
      </x:c>
      <x:c r="J24" s="19" t="s">
        <x:v>806</x:v>
      </x:c>
    </x:row>
    <x:row r="25">
      <x:c r="A25" s="11" t="s">
        <x:v>834</x:v>
      </x:c>
      <x:c r="B25" s="11" t="s">
        <x:v>101</x:v>
      </x:c>
      <x:c r="C25" s="20" t="s">
        <x:v>497</x:v>
      </x:c>
      <x:c r="D25" s="11">
        <x:v>1</x:v>
      </x:c>
      <x:c r="E25" s="11">
        <x:v>0</x:v>
      </x:c>
      <x:c r="F25" s="11">
        <x:v>1</x:v>
      </x:c>
      <x:c r="G25" s="11">
        <x:v>2</x:v>
      </x:c>
      <x:c r="H25" s="11">
        <x:v>2</x:v>
      </x:c>
      <x:c r="I25" s="11" t="s">
        <x:v>45</x:v>
      </x:c>
      <x:c r="J25" s="20" t="s">
        <x:v>806</x:v>
      </x:c>
    </x:row>
    <x:row r="26">
      <x:c r="A26" s="10" t="s">
        <x:v>835</x:v>
      </x:c>
      <x:c r="B26" s="10" t="s">
        <x:v>101</x:v>
      </x:c>
      <x:c r="C26" s="19" t="s">
        <x:v>472</x:v>
      </x:c>
      <x:c r="D26" s="10">
        <x:v>0</x:v>
      </x:c>
      <x:c r="E26" s="10">
        <x:v>2</x:v>
      </x:c>
      <x:c r="F26" s="10">
        <x:v>0</x:v>
      </x:c>
      <x:c r="G26" s="10">
        <x:v>0</x:v>
      </x:c>
      <x:c r="H26" s="10">
        <x:v>-5</x:v>
      </x:c>
      <x:c r="I26" s="10" t="s">
        <x:v>45</x:v>
      </x:c>
      <x:c r="J26" s="19" t="s">
        <x:v>806</x:v>
      </x:c>
    </x:row>
    <x:row r="27">
      <x:c r="A27" s="11" t="s">
        <x:v>836</x:v>
      </x:c>
      <x:c r="B27" s="11" t="s">
        <x:v>101</x:v>
      </x:c>
      <x:c r="C27" s="20" t="s">
        <x:v>837</x:v>
      </x:c>
      <x:c r="D27" s="11">
        <x:v>1</x:v>
      </x:c>
      <x:c r="E27" s="11">
        <x:v>1</x:v>
      </x:c>
      <x:c r="F27" s="11">
        <x:v>6</x:v>
      </x:c>
      <x:c r="G27" s="11">
        <x:v>3</x:v>
      </x:c>
      <x:c r="H27" s="11">
        <x:v>0</x:v>
      </x:c>
      <x:c r="I27" s="11" t="s">
        <x:v>45</x:v>
      </x:c>
      <x:c r="J27" s="20" t="s">
        <x:v>806</x:v>
      </x:c>
    </x:row>
    <x:row r="28">
      <x:c r="A28" s="10" t="s">
        <x:v>838</x:v>
      </x:c>
      <x:c r="B28" s="10" t="s">
        <x:v>101</x:v>
      </x:c>
      <x:c r="C28" s="19" t="s">
        <x:v>839</x:v>
      </x:c>
      <x:c r="D28" s="10">
        <x:v>1</x:v>
      </x:c>
      <x:c r="E28" s="10">
        <x:v>2</x:v>
      </x:c>
      <x:c r="F28" s="10">
        <x:v>3</x:v>
      </x:c>
      <x:c r="G28" s="10">
        <x:v>1</x:v>
      </x:c>
      <x:c r="H28" s="10">
        <x:v>-2</x:v>
      </x:c>
      <x:c r="I28" s="10" t="s">
        <x:v>45</x:v>
      </x:c>
      <x:c r="J28" s="19" t="s">
        <x:v>806</x:v>
      </x:c>
    </x:row>
    <x:row r="29">
      <x:c r="A29" s="11" t="s">
        <x:v>840</x:v>
      </x:c>
      <x:c r="B29" s="11" t="s">
        <x:v>101</x:v>
      </x:c>
      <x:c r="C29" s="20" t="s">
        <x:v>841</x:v>
      </x:c>
      <x:c r="D29" s="11">
        <x:v>0</x:v>
      </x:c>
      <x:c r="E29" s="11">
        <x:v>5</x:v>
      </x:c>
      <x:c r="F29" s="11">
        <x:v>1</x:v>
      </x:c>
      <x:c r="G29" s="11">
        <x:v>0</x:v>
      </x:c>
      <x:c r="H29" s="11">
        <x:v>-1</x:v>
      </x:c>
      <x:c r="I29" s="11" t="s">
        <x:v>45</x:v>
      </x:c>
      <x:c r="J29" s="20" t="s">
        <x:v>806</x:v>
      </x:c>
    </x:row>
    <x:row r="30">
      <x:c r="A30" s="35" t="str">
        <x:v>ACT-BLUE-11</x:v>
      </x:c>
      <x:c r="B30" s="36" t="str">
        <x:v>BLUE</x:v>
      </x:c>
      <x:c r="C30" s="37" t="str">
        <x:v>【航空】空中攔截任務</x:v>
      </x:c>
      <x:c r="D30" s="36" t="n">
        <x:v>2</x:v>
      </x:c>
      <x:c r="E30" s="36" t="n">
        <x:v>-2</x:v>
      </x:c>
      <x:c r="F30" s="36" t="n">
        <x:v>1</x:v>
      </x:c>
      <x:c r="G30" s="36" t="n">
        <x:v>2</x:v>
      </x:c>
      <x:c r="H30" s="36" t="n">
        <x:v>1</x:v>
      </x:c>
      <x:c r="I30" s="36" t="str">
        <x:v>EDUCATIONAL_SYNTHETIC</x:v>
      </x:c>
      <x:c r="J30" s="38" t="str">
        <x:v>抽象作戰類型；與 app.js ACTIONS 同步；不含真實武器參數、目標或交戰程序。</x:v>
      </x:c>
    </x:row>
    <x:row r="31">
      <x:c r="A31" s="39" t="str">
        <x:v>ACT-BLUE-12</x:v>
      </x:c>
      <x:c r="B31" s="40" t="str">
        <x:v>BLUE</x:v>
      </x:c>
      <x:c r="C31" s="41" t="str">
        <x:v>【防空】分層防空交戰</x:v>
      </x:c>
      <x:c r="D31" s="40" t="n">
        <x:v>2</x:v>
      </x:c>
      <x:c r="E31" s="40" t="n">
        <x:v>-3</x:v>
      </x:c>
      <x:c r="F31" s="40" t="n">
        <x:v>2</x:v>
      </x:c>
      <x:c r="G31" s="40" t="n">
        <x:v>1</x:v>
      </x:c>
      <x:c r="H31" s="40" t="n">
        <x:v>1</x:v>
      </x:c>
      <x:c r="I31" s="40" t="str">
        <x:v>EDUCATIONAL_SYNTHETIC</x:v>
      </x:c>
      <x:c r="J31" s="42" t="str">
        <x:v>抽象作戰類型；與 app.js ACTIONS 同步；不含真實武器參數、目標或交戰程序。</x:v>
      </x:c>
    </x:row>
    <x:row r="32">
      <x:c r="A32" s="43" t="str">
        <x:v>ACT-BLUE-13</x:v>
      </x:c>
      <x:c r="B32" s="44" t="str">
        <x:v>BLUE</x:v>
      </x:c>
      <x:c r="C32" s="45" t="str">
        <x:v>【遠程火力】遠程火力反制</x:v>
      </x:c>
      <x:c r="D32" s="44" t="n">
        <x:v>-1</x:v>
      </x:c>
      <x:c r="E32" s="44" t="n">
        <x:v>-3</x:v>
      </x:c>
      <x:c r="F32" s="44" t="n">
        <x:v>0</x:v>
      </x:c>
      <x:c r="G32" s="44" t="n">
        <x:v>1</x:v>
      </x:c>
      <x:c r="H32" s="44" t="n">
        <x:v>4</x:v>
      </x:c>
      <x:c r="I32" s="44" t="str">
        <x:v>EDUCATIONAL_SYNTHETIC</x:v>
      </x:c>
      <x:c r="J32" s="46" t="str">
        <x:v>抽象作戰類型；與 app.js ACTIONS 同步；不含真實武器參數、目標或交戰程序。</x:v>
      </x:c>
    </x:row>
    <x:row r="33">
      <x:c r="A33" s="39" t="str">
        <x:v>ACT-BLUE-14</x:v>
      </x:c>
      <x:c r="B33" s="40" t="str">
        <x:v>BLUE</x:v>
      </x:c>
      <x:c r="C33" s="41" t="str">
        <x:v>【海上】海上拒止任務</x:v>
      </x:c>
      <x:c r="D33" s="40" t="n">
        <x:v>1</x:v>
      </x:c>
      <x:c r="E33" s="40" t="n">
        <x:v>-2</x:v>
      </x:c>
      <x:c r="F33" s="40" t="n">
        <x:v>1</x:v>
      </x:c>
      <x:c r="G33" s="40" t="n">
        <x:v>1</x:v>
      </x:c>
      <x:c r="H33" s="40" t="n">
        <x:v>2</x:v>
      </x:c>
      <x:c r="I33" s="40" t="str">
        <x:v>EDUCATIONAL_SYNTHETIC</x:v>
      </x:c>
      <x:c r="J33" s="42" t="str">
        <x:v>抽象作戰類型；與 app.js ACTIONS 同步；不含真實武器參數、目標或交戰程序。</x:v>
      </x:c>
    </x:row>
    <x:row r="34">
      <x:c r="A34" s="43" t="str">
        <x:v>ACT-BLUE-15</x:v>
      </x:c>
      <x:c r="B34" s="44" t="str">
        <x:v>BLUE</x:v>
      </x:c>
      <x:c r="C34" s="45" t="str">
        <x:v>【水下】水下威懾與反潛警戒</x:v>
      </x:c>
      <x:c r="D34" s="44" t="n">
        <x:v>1</x:v>
      </x:c>
      <x:c r="E34" s="44" t="n">
        <x:v>-2</x:v>
      </x:c>
      <x:c r="F34" s="44" t="n">
        <x:v>1</x:v>
      </x:c>
      <x:c r="G34" s="44" t="n">
        <x:v>3</x:v>
      </x:c>
      <x:c r="H34" s="44" t="n">
        <x:v>1</x:v>
      </x:c>
      <x:c r="I34" s="44" t="str">
        <x:v>EDUCATIONAL_SYNTHETIC</x:v>
      </x:c>
      <x:c r="J34" s="46" t="str">
        <x:v>抽象作戰類型；與 app.js ACTIONS 同步；不含真實武器參數、目標或交戰程序。</x:v>
      </x:c>
    </x:row>
    <x:row r="35">
      <x:c r="A35" s="39" t="str">
        <x:v>ACT-RED-08</x:v>
      </x:c>
      <x:c r="B35" s="40" t="str">
        <x:v>RED</x:v>
      </x:c>
      <x:c r="C35" s="41" t="str">
        <x:v>【航空】空中攔截與護航</x:v>
      </x:c>
      <x:c r="D35" s="40" t="n">
        <x:v>1</x:v>
      </x:c>
      <x:c r="E35" s="40" t="n">
        <x:v>-2</x:v>
      </x:c>
      <x:c r="F35" s="40" t="n">
        <x:v>1</x:v>
      </x:c>
      <x:c r="G35" s="40" t="n">
        <x:v>1</x:v>
      </x:c>
      <x:c r="H35" s="40" t="n">
        <x:v>3</x:v>
      </x:c>
      <x:c r="I35" s="40" t="str">
        <x:v>EDUCATIONAL_SYNTHETIC</x:v>
      </x:c>
      <x:c r="J35" s="42" t="str">
        <x:v>抽象作戰類型；與 app.js ACTIONS 同步；不含真實武器參數、目標或交戰程序。</x:v>
      </x:c>
    </x:row>
    <x:row r="36">
      <x:c r="A36" s="43" t="str">
        <x:v>ACT-RED-09</x:v>
      </x:c>
      <x:c r="B36" s="44" t="str">
        <x:v>RED</x:v>
      </x:c>
      <x:c r="C36" s="45" t="str">
        <x:v>【遠程火力】遠程火力施壓</x:v>
      </x:c>
      <x:c r="D36" s="44" t="n">
        <x:v>-2</x:v>
      </x:c>
      <x:c r="E36" s="44" t="n">
        <x:v>-3</x:v>
      </x:c>
      <x:c r="F36" s="44" t="n">
        <x:v>0</x:v>
      </x:c>
      <x:c r="G36" s="44" t="n">
        <x:v>0</x:v>
      </x:c>
      <x:c r="H36" s="44" t="n">
        <x:v>7</x:v>
      </x:c>
      <x:c r="I36" s="44" t="str">
        <x:v>EDUCATIONAL_SYNTHETIC</x:v>
      </x:c>
      <x:c r="J36" s="46" t="str">
        <x:v>抽象作戰類型；與 app.js ACTIONS 同步；不含真實武器參數、目標或交戰程序。</x:v>
      </x:c>
    </x:row>
    <x:row r="37">
      <x:c r="A37" s="39" t="str">
        <x:v>ACT-RED-10</x:v>
      </x:c>
      <x:c r="B37" s="40" t="str">
        <x:v>RED</x:v>
      </x:c>
      <x:c r="C37" s="41" t="str">
        <x:v>【海上】海上拒止行動</x:v>
      </x:c>
      <x:c r="D37" s="40" t="n">
        <x:v>1</x:v>
      </x:c>
      <x:c r="E37" s="40" t="n">
        <x:v>-2</x:v>
      </x:c>
      <x:c r="F37" s="40" t="n">
        <x:v>1</x:v>
      </x:c>
      <x:c r="G37" s="40" t="n">
        <x:v>1</x:v>
      </x:c>
      <x:c r="H37" s="40" t="n">
        <x:v>4</x:v>
      </x:c>
      <x:c r="I37" s="40" t="str">
        <x:v>EDUCATIONAL_SYNTHETIC</x:v>
      </x:c>
      <x:c r="J37" s="42" t="str">
        <x:v>抽象作戰類型；與 app.js ACTIONS 同步；不含真實武器參數、目標或交戰程序。</x:v>
      </x:c>
    </x:row>
    <x:row r="38">
      <x:c r="A38" s="43" t="str">
        <x:v>ACT-RED-11</x:v>
      </x:c>
      <x:c r="B38" s="44" t="str">
        <x:v>RED</x:v>
      </x:c>
      <x:c r="C38" s="45" t="str">
        <x:v>【水下】水下封控與反潛警戒</x:v>
      </x:c>
      <x:c r="D38" s="44" t="n">
        <x:v>1</x:v>
      </x:c>
      <x:c r="E38" s="44" t="n">
        <x:v>-2</x:v>
      </x:c>
      <x:c r="F38" s="44" t="n">
        <x:v>1</x:v>
      </x:c>
      <x:c r="G38" s="44" t="n">
        <x:v>2</x:v>
      </x:c>
      <x:c r="H38" s="44" t="n">
        <x:v>4</x:v>
      </x:c>
      <x:c r="I38" s="44" t="str">
        <x:v>EDUCATIONAL_SYNTHETIC</x:v>
      </x:c>
      <x:c r="J38" s="46" t="str">
        <x:v>抽象作戰類型；與 app.js ACTIONS 同步；不含真實武器參數、目標或交戰程序。</x:v>
      </x:c>
    </x:row>
    <x:row r="39">
      <x:c r="A39" s="39" t="str">
        <x:v>ACT-AMBER-10</x:v>
      </x:c>
      <x:c r="B39" s="40" t="str">
        <x:v>AMBER</x:v>
      </x:c>
      <x:c r="C39" s="41" t="str">
        <x:v>【航空】區域空中攔截支援</x:v>
      </x:c>
      <x:c r="D39" s="40" t="n">
        <x:v>2</x:v>
      </x:c>
      <x:c r="E39" s="40" t="n">
        <x:v>-2</x:v>
      </x:c>
      <x:c r="F39" s="40" t="n">
        <x:v>2</x:v>
      </x:c>
      <x:c r="G39" s="40" t="n">
        <x:v>3</x:v>
      </x:c>
      <x:c r="H39" s="40" t="n">
        <x:v>1</x:v>
      </x:c>
      <x:c r="I39" s="40" t="str">
        <x:v>EDUCATIONAL_SYNTHETIC</x:v>
      </x:c>
      <x:c r="J39" s="42" t="str">
        <x:v>抽象作戰類型；與 app.js ACTIONS 同步；不含真實武器參數、目標或交戰程序。</x:v>
      </x:c>
    </x:row>
    <x:row r="40">
      <x:c r="A40" s="43" t="str">
        <x:v>ACT-AMBER-11</x:v>
      </x:c>
      <x:c r="B40" s="44" t="str">
        <x:v>AMBER</x:v>
      </x:c>
      <x:c r="C40" s="45" t="str">
        <x:v>【海上】多國海上防護協調</x:v>
      </x:c>
      <x:c r="D40" s="44" t="n">
        <x:v>1</x:v>
      </x:c>
      <x:c r="E40" s="44" t="n">
        <x:v>-2</x:v>
      </x:c>
      <x:c r="F40" s="44" t="n">
        <x:v>3</x:v>
      </x:c>
      <x:c r="G40" s="44" t="n">
        <x:v>2</x:v>
      </x:c>
      <x:c r="H40" s="44" t="n">
        <x:v>-1</x:v>
      </x:c>
      <x:c r="I40" s="44" t="str">
        <x:v>EDUCATIONAL_SYNTHETIC</x:v>
      </x:c>
      <x:c r="J40" s="46" t="str">
        <x:v>抽象作戰類型；與 app.js ACTIONS 同步；不含真實武器參數、目標或交戰程序。</x:v>
      </x:c>
    </x:row>
    <x:row r="41">
      <x:c r="A41" s="47" t="str">
        <x:v>ACT-AMBER-12</x:v>
      </x:c>
      <x:c r="B41" s="48" t="str">
        <x:v>AMBER</x:v>
      </x:c>
      <x:c r="C41" s="49" t="str">
        <x:v>【水下】水下監視與反潛支援</x:v>
      </x:c>
      <x:c r="D41" s="48" t="n">
        <x:v>1</x:v>
      </x:c>
      <x:c r="E41" s="48" t="n">
        <x:v>-1</x:v>
      </x:c>
      <x:c r="F41" s="48" t="n">
        <x:v>2</x:v>
      </x:c>
      <x:c r="G41" s="48" t="n">
        <x:v>5</x:v>
      </x:c>
      <x:c r="H41" s="48" t="n">
        <x:v>0</x:v>
      </x:c>
      <x:c r="I41" s="48" t="str">
        <x:v>EDUCATIONAL_SYNTHETIC</x:v>
      </x:c>
      <x:c r="J41" s="50" t="str">
        <x:v>抽象作戰類型；與 app.js ACTIONS 同步；不含真實武器參數、目標或交戰程序。</x:v>
      </x:c>
    </x:row>
  </x:sheetData>
  <x:mergeCells>
    <x:mergeCell ref="A1:J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6" customWidth="1"/>
    <x:col min="3" max="3" width="28" customWidth="1"/>
    <x:col min="4" max="4" width="56" customWidth="1"/>
    <x:col min="5" max="5" width="48" customWidth="1"/>
    <x:col min="6" max="6" width="34" customWidth="1"/>
  </x:cols>
  <x:sheetData>
    <x:row r="1" ht="26" customHeight="1">
      <x:c r="A1" s="18" t="s">
        <x:v>842</x:v>
      </x:c>
      <x:c r="B1" s="18"/>
      <x:c r="C1" s="18"/>
      <x:c r="D1" s="18"/>
      <x:c r="E1" s="18"/>
      <x:c r="F1" s="18"/>
    </x:row>
    <x:row r="3" ht="30" customHeight="1">
      <x:c r="A3" s="9" t="s">
        <x:v>843</x:v>
      </x:c>
      <x:c r="B3" s="9" t="s">
        <x:v>844</x:v>
      </x:c>
      <x:c r="C3" s="9" t="s">
        <x:v>845</x:v>
      </x:c>
      <x:c r="D3" s="9" t="s">
        <x:v>846</x:v>
      </x:c>
      <x:c r="E3" s="9" t="s">
        <x:v>847</x:v>
      </x:c>
      <x:c r="F3" s="9" t="s">
        <x:v>848</x:v>
      </x:c>
    </x:row>
    <x:row r="4">
      <x:c r="A4" s="10" t="s">
        <x:v>849</x:v>
      </x:c>
      <x:c r="B4" s="10" t="s">
        <x:v>850</x:v>
      </x:c>
      <x:c r="C4" s="10" t="s">
        <x:v>851</x:v>
      </x:c>
      <x:c r="D4" s="10" t="s">
        <x:v>852</x:v>
      </x:c>
      <x:c r="E4" s="10" t="s">
        <x:v>853</x:v>
      </x:c>
      <x:c r="F4" s="10" t="s">
        <x:v>854</x:v>
      </x:c>
    </x:row>
    <x:row r="5">
      <x:c r="A5" s="11" t="s">
        <x:v>855</x:v>
      </x:c>
      <x:c r="B5" s="11" t="s">
        <x:v>856</x:v>
      </x:c>
      <x:c r="C5" s="11" t="s">
        <x:v>857</x:v>
      </x:c>
      <x:c r="D5" s="11" t="s">
        <x:v>858</x:v>
      </x:c>
      <x:c r="E5" s="11" t="s">
        <x:v>859</x:v>
      </x:c>
      <x:c r="F5" s="11" t="s">
        <x:v>854</x:v>
      </x:c>
    </x:row>
    <x:row r="6">
      <x:c r="A6" s="10" t="s">
        <x:v>860</x:v>
      </x:c>
      <x:c r="B6" s="10" t="s">
        <x:v>861</x:v>
      </x:c>
      <x:c r="C6" s="10" t="s">
        <x:v>862</x:v>
      </x:c>
      <x:c r="D6" s="10" t="s">
        <x:v>863</x:v>
      </x:c>
      <x:c r="E6" s="10" t="s">
        <x:v>864</x:v>
      </x:c>
      <x:c r="F6" s="10" t="s">
        <x:v>854</x:v>
      </x:c>
    </x:row>
    <x:row r="7">
      <x:c r="A7" s="11" t="s">
        <x:v>865</x:v>
      </x:c>
      <x:c r="B7" s="11" t="s">
        <x:v>866</x:v>
      </x:c>
      <x:c r="C7" s="11" t="s">
        <x:v>867</x:v>
      </x:c>
      <x:c r="D7" s="11" t="s">
        <x:v>868</x:v>
      </x:c>
      <x:c r="E7" s="11" t="s">
        <x:v>859</x:v>
      </x:c>
      <x:c r="F7" s="11" t="s">
        <x:v>854</x:v>
      </x:c>
    </x:row>
  </x:sheetData>
  <x:mergeCells>
    <x:mergeCell ref="A1:F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6" hidden="0" customWidth="1"/>
    <x:col min="5" max="5" width="18" hidden="0" customWidth="1"/>
    <x:col min="6" max="6" width="12" hidden="0" customWidth="1"/>
    <x:col min="7" max="7" width="14" hidden="0" customWidth="1"/>
    <x:col min="8" max="8" width="12" hidden="0" customWidth="1"/>
    <x:col min="9" max="9" width="18" hidden="0" customWidth="1"/>
    <x:col min="10" max="10" width="16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4" hidden="0" customWidth="1"/>
    <x:col min="18" max="18" width="14" hidden="0" customWidth="1"/>
    <x:col min="19" max="19" width="34" hidden="0" customWidth="1"/>
    <x:col min="20" max="20" width="15" hidden="0" customWidth="1"/>
    <x:col min="21" max="21" width="24" hidden="0" customWidth="1"/>
  </x:cols>
  <x:sheetData>
    <x:row r="1" ht="28" customHeight="1">
      <x:c r="A1" s="118" t="str">
        <x:v>三方具名教學資源（現行 app.js 組態）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</x:row>
    <x:row r="2" ht="32" customHeight="1">
      <x:c r="A2" s="119" t="str">
        <x:v>33 項公開名稱僅增添臨場感；庫存、可用率、保留率、消耗、恢復、補充、延遲、可靠度及計分皆為合成遊戲值，不代表真實能力或部署。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  <x:c r="Q2" s="119"/>
      <x:c r="R2" s="119"/>
      <x:c r="S2" s="119"/>
      <x:c r="T2" s="119"/>
      <x:c r="U2" s="119"/>
    </x:row>
    <x:row r="3" ht="31" customHeight="1">
      <x:c r="A3" s="123" t="str">
        <x:v>resource_id</x:v>
      </x:c>
      <x:c r="B3" s="123" t="str">
        <x:v>actor_id</x:v>
      </x:c>
      <x:c r="C3" s="123" t="str">
        <x:v>equipment_name</x:v>
      </x:c>
      <x:c r="D3" s="123" t="str">
        <x:v>category_key</x:v>
      </x:c>
      <x:c r="E3" s="123" t="str">
        <x:v>category_name</x:v>
      </x:c>
      <x:c r="F3" s="123" t="str">
        <x:v>game_stock</x:v>
      </x:c>
      <x:c r="G3" s="123" t="str">
        <x:v>availability_pct</x:v>
      </x:c>
      <x:c r="H3" s="123" t="str">
        <x:v>reserve_pct</x:v>
      </x:c>
      <x:c r="I3" s="123" t="str">
        <x:v>consumption_per_action</x:v>
      </x:c>
      <x:c r="J3" s="123" t="str">
        <x:v>recovery_per_turn</x:v>
      </x:c>
      <x:c r="K3" s="123" t="str">
        <x:v>replenishment</x:v>
      </x:c>
      <x:c r="L3" s="123" t="str">
        <x:v>delay_turns</x:v>
      </x:c>
      <x:c r="M3" s="123" t="str">
        <x:v>reliability_pct</x:v>
      </x:c>
      <x:c r="N3" s="123" t="str">
        <x:v>usable_points</x:v>
      </x:c>
      <x:c r="O3" s="123" t="str">
        <x:v>reserve_points</x:v>
      </x:c>
      <x:c r="P3" s="123" t="str">
        <x:v>committable_points</x:v>
      </x:c>
      <x:c r="Q3" s="123" t="str">
        <x:v>endurance_turns</x:v>
      </x:c>
      <x:c r="R3" s="123" t="str">
        <x:v>abstract_score</x:v>
      </x:c>
      <x:c r="S3" s="123" t="str">
        <x:v>narrative_role</x:v>
      </x:c>
      <x:c r="T3" s="123" t="str">
        <x:v>source_ids</x:v>
      </x:c>
      <x:c r="U3" s="123" t="str">
        <x:v>data_class</x:v>
      </x:c>
    </x:row>
    <x:row r="4" ht="34" customHeight="1">
      <x:c r="A4" s="121" t="str">
        <x:v>NR-BLUE-01</x:v>
      </x:c>
      <x:c r="B4" s="121" t="str">
        <x:v>BLUE</x:v>
      </x:c>
      <x:c r="C4" s="121" t="str">
        <x:v>F-16V「Viper／毒蛇」</x:v>
      </x:c>
      <x:c r="D4" s="121" t="str">
        <x:v>aviation</x:v>
      </x:c>
      <x:c r="E4" s="121" t="str">
        <x:v>航空任務</x:v>
      </x:c>
      <x:c r="F4" s="121" t="n">
        <x:v>42</x:v>
      </x:c>
      <x:c r="G4" s="124" t="n">
        <x:v>84</x:v>
      </x:c>
      <x:c r="H4" s="124" t="n">
        <x:v>24</x:v>
      </x:c>
      <x:c r="I4" s="121" t="n">
        <x:v>5</x:v>
      </x:c>
      <x:c r="J4" s="121" t="n">
        <x:v>2</x:v>
      </x:c>
      <x:c r="K4" s="121" t="n">
        <x:v>6</x:v>
      </x:c>
      <x:c r="L4" s="121" t="n">
        <x:v>4</x:v>
      </x:c>
      <x:c r="M4" s="124" t="n">
        <x:v>89</x:v>
      </x:c>
      <x:c r="N4" s="125" t="n">
        <x:f>F4*G4/100*M4/100</x:f>
        <x:v>31.3992</x:v>
      </x:c>
      <x:c r="O4" s="125" t="n">
        <x:f>F4*H4/100</x:f>
        <x:v>10.08</x:v>
      </x:c>
      <x:c r="P4" s="125" t="n">
        <x:f>MAX(0,N4-O4)</x:f>
        <x:v>21.319200000000002</x:v>
      </x:c>
      <x:c r="Q4" s="125" t="n">
        <x:f>IF(I4&gt;0,P4/I4,12)</x:f>
        <x:v>4.26384</x:v>
      </x:c>
      <x:c r="R4" s="125" t="n">
        <x:f>MIN(100,N4/XLOOKUP(D4,'23_Model_Config'!A$4:A$12,'23_Model_Config'!D$4:D$12)*70+MIN(5,Q4)*6)</x:f>
        <x:v>43.899240000000006</x:v>
      </x:c>
      <x:c r="S4" s="121" t="str">
        <x:v>多用途航空任務；參數為遊戲平衡值</x:v>
      </x:c>
      <x:c r="T4" s="121" t="str">
        <x:v>SRC-020</x:v>
      </x:c>
      <x:c r="U4" s="121" t="str">
        <x:v>EDUCATIONAL_SYNTHETIC</x:v>
      </x:c>
    </x:row>
    <x:row r="5" ht="34" customHeight="1">
      <x:c r="A5" s="122" t="str">
        <x:v>NR-BLUE-02</x:v>
      </x:c>
      <x:c r="B5" s="122" t="str">
        <x:v>BLUE</x:v>
      </x:c>
      <x:c r="C5" s="122" t="str">
        <x:v>IDF／F-CK-1「經國號」</x:v>
      </x:c>
      <x:c r="D5" s="122" t="str">
        <x:v>aviation</x:v>
      </x:c>
      <x:c r="E5" s="122" t="str">
        <x:v>航空任務</x:v>
      </x:c>
      <x:c r="F5" s="122" t="n">
        <x:v>34</x:v>
      </x:c>
      <x:c r="G5" s="126" t="n">
        <x:v>80</x:v>
      </x:c>
      <x:c r="H5" s="126" t="n">
        <x:v>22</x:v>
      </x:c>
      <x:c r="I5" s="122" t="n">
        <x:v>4</x:v>
      </x:c>
      <x:c r="J5" s="122" t="n">
        <x:v>2</x:v>
      </x:c>
      <x:c r="K5" s="122" t="n">
        <x:v>5</x:v>
      </x:c>
      <x:c r="L5" s="122" t="n">
        <x:v>3</x:v>
      </x:c>
      <x:c r="M5" s="126" t="n">
        <x:v>86</x:v>
      </x:c>
      <x:c r="N5" s="127" t="n">
        <x:f>F5*G5/100*M5/100</x:f>
        <x:v>23.392</x:v>
      </x:c>
      <x:c r="O5" s="127" t="n">
        <x:f>F5*H5/100</x:f>
        <x:v>7.48</x:v>
      </x:c>
      <x:c r="P5" s="127" t="n">
        <x:f>MAX(0,N5-O5)</x:f>
        <x:v>15.911999999999999</x:v>
      </x:c>
      <x:c r="Q5" s="127" t="n">
        <x:f>IF(I5&gt;0,P5/I5,12)</x:f>
        <x:v>3.9779999999999998</x:v>
      </x:c>
      <x:c r="R5" s="127" t="n">
        <x:f>MIN(100,N5/XLOOKUP(D5,'23_Model_Config'!A$4:A$12,'23_Model_Config'!D$4:D$12)*70+MIN(5,Q5)*6)</x:f>
        <x:v>37.51333333333333</x:v>
      </x:c>
      <x:c r="S5" s="122" t="str">
        <x:v>航空攔截任務；參數為遊戲平衡值</x:v>
      </x:c>
      <x:c r="T5" s="122" t="str">
        <x:v>SRC-021</x:v>
      </x:c>
      <x:c r="U5" s="122" t="str">
        <x:v>EDUCATIONAL_SYNTHETIC</x:v>
      </x:c>
    </x:row>
    <x:row r="6" ht="34" customHeight="1">
      <x:c r="A6" s="121" t="str">
        <x:v>NR-BLUE-03</x:v>
      </x:c>
      <x:c r="B6" s="121" t="str">
        <x:v>BLUE</x:v>
      </x:c>
      <x:c r="C6" s="121" t="str">
        <x:v>Mirage 2000-5「幻象2000-5」</x:v>
      </x:c>
      <x:c r="D6" s="121" t="str">
        <x:v>aviation</x:v>
      </x:c>
      <x:c r="E6" s="121" t="str">
        <x:v>航空任務</x:v>
      </x:c>
      <x:c r="F6" s="121" t="n">
        <x:v>20</x:v>
      </x:c>
      <x:c r="G6" s="124" t="n">
        <x:v>76</x:v>
      </x:c>
      <x:c r="H6" s="124" t="n">
        <x:v>28</x:v>
      </x:c>
      <x:c r="I6" s="121" t="n">
        <x:v>4</x:v>
      </x:c>
      <x:c r="J6" s="121" t="n">
        <x:v>1</x:v>
      </x:c>
      <x:c r="K6" s="121" t="n">
        <x:v>3</x:v>
      </x:c>
      <x:c r="L6" s="121" t="n">
        <x:v>5</x:v>
      </x:c>
      <x:c r="M6" s="124" t="n">
        <x:v>85</x:v>
      </x:c>
      <x:c r="N6" s="125" t="n">
        <x:f>F6*G6/100*M6/100</x:f>
        <x:v>12.92</x:v>
      </x:c>
      <x:c r="O6" s="125" t="n">
        <x:f>F6*H6/100</x:f>
        <x:v>5.6</x:v>
      </x:c>
      <x:c r="P6" s="125" t="n">
        <x:f>MAX(0,N6-O6)</x:f>
        <x:v>7.32</x:v>
      </x:c>
      <x:c r="Q6" s="125" t="n">
        <x:f>IF(I6&gt;0,P6/I6,12)</x:f>
        <x:v>1.83</x:v>
      </x:c>
      <x:c r="R6" s="125" t="n">
        <x:f>MIN(100,N6/XLOOKUP(D6,'23_Model_Config'!A$4:A$12,'23_Model_Config'!D$4:D$12)*70+MIN(5,Q6)*6)</x:f>
        <x:v>18.516666666666666</x:v>
      </x:c>
      <x:c r="S6" s="121" t="str">
        <x:v>空優攔截任務；參數為遊戲平衡值</x:v>
      </x:c>
      <x:c r="T6" s="121" t="str">
        <x:v>SRC-023</x:v>
      </x:c>
      <x:c r="U6" s="121" t="str">
        <x:v>EDUCATIONAL_SYNTHETIC</x:v>
      </x:c>
    </x:row>
    <x:row r="7" ht="34" customHeight="1">
      <x:c r="A7" s="122" t="str">
        <x:v>NR-BLUE-04</x:v>
      </x:c>
      <x:c r="B7" s="122" t="str">
        <x:v>BLUE</x:v>
      </x:c>
      <x:c r="C7" s="122" t="str">
        <x:v>C-130H「力士型運輸機」</x:v>
      </x:c>
      <x:c r="D7" s="122" t="str">
        <x:v>logistics</x:v>
      </x:c>
      <x:c r="E7" s="122" t="str">
        <x:v>後勤／維修</x:v>
      </x:c>
      <x:c r="F7" s="122" t="n">
        <x:v>20</x:v>
      </x:c>
      <x:c r="G7" s="126" t="n">
        <x:v>78</x:v>
      </x:c>
      <x:c r="H7" s="126" t="n">
        <x:v>30</x:v>
      </x:c>
      <x:c r="I7" s="122" t="n">
        <x:v>3</x:v>
      </x:c>
      <x:c r="J7" s="122" t="n">
        <x:v>2</x:v>
      </x:c>
      <x:c r="K7" s="122" t="n">
        <x:v>4</x:v>
      </x:c>
      <x:c r="L7" s="122" t="n">
        <x:v>4</x:v>
      </x:c>
      <x:c r="M7" s="126" t="n">
        <x:v>88</x:v>
      </x:c>
      <x:c r="N7" s="127" t="n">
        <x:f>F7*G7/100*M7/100</x:f>
        <x:v>13.728</x:v>
      </x:c>
      <x:c r="O7" s="127" t="n">
        <x:f>F7*H7/100</x:f>
        <x:v>6</x:v>
      </x:c>
      <x:c r="P7" s="127" t="n">
        <x:f>MAX(0,N7-O7)</x:f>
        <x:v>7.728</x:v>
      </x:c>
      <x:c r="Q7" s="127" t="n">
        <x:f>IF(I7&gt;0,P7/I7,12)</x:f>
        <x:v>2.576</x:v>
      </x:c>
      <x:c r="R7" s="127" t="n">
        <x:f>MIN(100,N7/XLOOKUP(D7,'23_Model_Config'!A$4:A$12,'23_Model_Config'!D$4:D$12)*70+MIN(5,Q7)*6)</x:f>
        <x:v>24.607999999999997</x:v>
      </x:c>
      <x:c r="S7" s="122" t="str">
        <x:v>空運與補給支援；參數為遊戲平衡值</x:v>
      </x:c>
      <x:c r="T7" s="122" t="str">
        <x:v>SRC-022</x:v>
      </x:c>
      <x:c r="U7" s="122" t="str">
        <x:v>EDUCATIONAL_SYNTHETIC</x:v>
      </x:c>
    </x:row>
    <x:row r="8" ht="34" customHeight="1">
      <x:c r="A8" s="121" t="str">
        <x:v>NR-BLUE-05</x:v>
      </x:c>
      <x:c r="B8" s="121" t="str">
        <x:v>BLUE</x:v>
      </x:c>
      <x:c r="C8" s="121" t="str">
        <x:v>E-2K「鷹眼預警機」</x:v>
      </x:c>
      <x:c r="D8" s="121" t="str">
        <x:v>isr</x:v>
      </x:c>
      <x:c r="E8" s="121" t="str">
        <x:v>ISR／感測</x:v>
      </x:c>
      <x:c r="F8" s="121" t="n">
        <x:v>12</x:v>
      </x:c>
      <x:c r="G8" s="124" t="n">
        <x:v>82</x:v>
      </x:c>
      <x:c r="H8" s="124" t="n">
        <x:v>35</x:v>
      </x:c>
      <x:c r="I8" s="121" t="n">
        <x:v>2</x:v>
      </x:c>
      <x:c r="J8" s="121" t="n">
        <x:v>1</x:v>
      </x:c>
      <x:c r="K8" s="121" t="n">
        <x:v>2</x:v>
      </x:c>
      <x:c r="L8" s="121" t="n">
        <x:v>5</x:v>
      </x:c>
      <x:c r="M8" s="124" t="n">
        <x:v>90</x:v>
      </x:c>
      <x:c r="N8" s="125" t="n">
        <x:f>F8*G8/100*M8/100</x:f>
        <x:v>8.856</x:v>
      </x:c>
      <x:c r="O8" s="125" t="n">
        <x:f>F8*H8/100</x:f>
        <x:v>4.2</x:v>
      </x:c>
      <x:c r="P8" s="125" t="n">
        <x:f>MAX(0,N8-O8)</x:f>
        <x:v>4.656</x:v>
      </x:c>
      <x:c r="Q8" s="125" t="n">
        <x:f>IF(I8&gt;0,P8/I8,12)</x:f>
        <x:v>2.328</x:v>
      </x:c>
      <x:c r="R8" s="125" t="n">
        <x:f>MIN(100,N8/XLOOKUP(D8,'23_Model_Config'!A$4:A$12,'23_Model_Config'!D$4:D$12)*70+MIN(5,Q8)*6)</x:f>
        <x:v>25.239272727272727</x:v>
      </x:c>
      <x:c r="S8" s="121" t="str">
        <x:v>空中預警與感測；參數為遊戲平衡值</x:v>
      </x:c>
      <x:c r="T8" s="121" t="str">
        <x:v>SRC-024</x:v>
      </x:c>
      <x:c r="U8" s="121" t="str">
        <x:v>EDUCATIONAL_SYNTHETIC</x:v>
      </x:c>
    </x:row>
    <x:row r="9" ht="34" customHeight="1">
      <x:c r="A9" s="122" t="str">
        <x:v>NR-BLUE-06</x:v>
      </x:c>
      <x:c r="B9" s="122" t="str">
        <x:v>BLUE</x:v>
      </x:c>
      <x:c r="C9" s="122" t="str">
        <x:v>P-3C「獵戶座反潛巡邏機」</x:v>
      </x:c>
      <x:c r="D9" s="122" t="str">
        <x:v>subsurface</x:v>
      </x:c>
      <x:c r="E9" s="122" t="str">
        <x:v>水下任務</x:v>
      </x:c>
      <x:c r="F9" s="122" t="n">
        <x:v>16</x:v>
      </x:c>
      <x:c r="G9" s="126" t="n">
        <x:v>77</x:v>
      </x:c>
      <x:c r="H9" s="126" t="n">
        <x:v>30</x:v>
      </x:c>
      <x:c r="I9" s="122" t="n">
        <x:v>3</x:v>
      </x:c>
      <x:c r="J9" s="122" t="n">
        <x:v>1</x:v>
      </x:c>
      <x:c r="K9" s="122" t="n">
        <x:v>3</x:v>
      </x:c>
      <x:c r="L9" s="122" t="n">
        <x:v>4</x:v>
      </x:c>
      <x:c r="M9" s="126" t="n">
        <x:v>87</x:v>
      </x:c>
      <x:c r="N9" s="127" t="n">
        <x:f>F9*G9/100*M9/100</x:f>
        <x:v>10.718399999999999</x:v>
      </x:c>
      <x:c r="O9" s="127" t="n">
        <x:f>F9*H9/100</x:f>
        <x:v>4.8</x:v>
      </x:c>
      <x:c r="P9" s="127" t="n">
        <x:f>MAX(0,N9-O9)</x:f>
        <x:v>5.918399999999999</x:v>
      </x:c>
      <x:c r="Q9" s="127" t="n">
        <x:f>IF(I9&gt;0,P9/I9,12)</x:f>
        <x:v>1.9727999999999997</x:v>
      </x:c>
      <x:c r="R9" s="127" t="n">
        <x:f>MIN(100,N9/XLOOKUP(D9,'23_Model_Config'!A$4:A$12,'23_Model_Config'!D$4:D$12)*70+MIN(5,Q9)*6)</x:f>
        <x:v>29.700799999999994</x:v>
      </x:c>
      <x:c r="S9" s="122" t="str">
        <x:v>海上巡邏與水下警戒；參數為遊戲平衡值</x:v>
      </x:c>
      <x:c r="T9" s="122" t="str">
        <x:v>SRC-024</x:v>
      </x:c>
      <x:c r="U9" s="122" t="str">
        <x:v>EDUCATIONAL_SYNTHETIC</x:v>
      </x:c>
    </x:row>
    <x:row r="10" ht="34" customHeight="1">
      <x:c r="A10" s="121" t="str">
        <x:v>NR-BLUE-07</x:v>
      </x:c>
      <x:c r="B10" s="121" t="str">
        <x:v>BLUE</x:v>
      </x:c>
      <x:c r="C10" s="121" t="str">
        <x:v>雄風三型超音速反艦飛彈</x:v>
      </x:c>
      <x:c r="D10" s="121" t="str">
        <x:v>maritime</x:v>
      </x:c>
      <x:c r="E10" s="121" t="str">
        <x:v>海上任務</x:v>
      </x:c>
      <x:c r="F10" s="121" t="n">
        <x:v>48</x:v>
      </x:c>
      <x:c r="G10" s="124" t="n">
        <x:v>88</x:v>
      </x:c>
      <x:c r="H10" s="124" t="n">
        <x:v>32</x:v>
      </x:c>
      <x:c r="I10" s="121" t="n">
        <x:v>6</x:v>
      </x:c>
      <x:c r="J10" s="121" t="n">
        <x:v>1</x:v>
      </x:c>
      <x:c r="K10" s="121" t="n">
        <x:v>8</x:v>
      </x:c>
      <x:c r="L10" s="121" t="n">
        <x:v>5</x:v>
      </x:c>
      <x:c r="M10" s="124" t="n">
        <x:v>91</x:v>
      </x:c>
      <x:c r="N10" s="125" t="n">
        <x:f>F10*G10/100*M10/100</x:f>
        <x:v>38.4384</x:v>
      </x:c>
      <x:c r="O10" s="125" t="n">
        <x:f>F10*H10/100</x:f>
        <x:v>15.36</x:v>
      </x:c>
      <x:c r="P10" s="125" t="n">
        <x:f>MAX(0,N10-O10)</x:f>
        <x:v>23.078400000000002</x:v>
      </x:c>
      <x:c r="Q10" s="125" t="n">
        <x:f>IF(I10&gt;0,P10/I10,12)</x:f>
        <x:v>3.8464000000000005</x:v>
      </x:c>
      <x:c r="R10" s="125" t="n">
        <x:f>MIN(100,N10/XLOOKUP(D10,'23_Model_Config'!A$4:A$12,'23_Model_Config'!D$4:D$12)*70+MIN(5,Q10)*6)</x:f>
        <x:v>61.5168</x:v>
      </x:c>
      <x:c r="S10" s="121" t="str">
        <x:v>海上拒止資源；參數為遊戲平衡值</x:v>
      </x:c>
      <x:c r="T10" s="121" t="str">
        <x:v>SRC-026</x:v>
      </x:c>
      <x:c r="U10" s="121" t="str">
        <x:v>EDUCATIONAL_SYNTHETIC</x:v>
      </x:c>
    </x:row>
    <x:row r="11" ht="34" customHeight="1">
      <x:c r="A11" s="122" t="str">
        <x:v>NR-BLUE-08</x:v>
      </x:c>
      <x:c r="B11" s="122" t="str">
        <x:v>BLUE</x:v>
      </x:c>
      <x:c r="C11" s="122" t="str">
        <x:v>天劍二型空對空飛彈／TC-2</x:v>
      </x:c>
      <x:c r="D11" s="122" t="str">
        <x:v>airDefense</x:v>
      </x:c>
      <x:c r="E11" s="122" t="str">
        <x:v>防空／攔截</x:v>
      </x:c>
      <x:c r="F11" s="122" t="n">
        <x:v>68</x:v>
      </x:c>
      <x:c r="G11" s="126" t="n">
        <x:v>86</x:v>
      </x:c>
      <x:c r="H11" s="126" t="n">
        <x:v>28</x:v>
      </x:c>
      <x:c r="I11" s="122" t="n">
        <x:v>8</x:v>
      </x:c>
      <x:c r="J11" s="122" t="n">
        <x:v>1</x:v>
      </x:c>
      <x:c r="K11" s="122" t="n">
        <x:v>12</x:v>
      </x:c>
      <x:c r="L11" s="122" t="n">
        <x:v>4</x:v>
      </x:c>
      <x:c r="M11" s="126" t="n">
        <x:v>89</x:v>
      </x:c>
      <x:c r="N11" s="127" t="n">
        <x:f>F11*G11/100*M11/100</x:f>
        <x:v>52.0472</x:v>
      </x:c>
      <x:c r="O11" s="127" t="n">
        <x:f>F11*H11/100</x:f>
        <x:v>19.04</x:v>
      </x:c>
      <x:c r="P11" s="127" t="n">
        <x:f>MAX(0,N11-O11)</x:f>
        <x:v>33.0072</x:v>
      </x:c>
      <x:c r="Q11" s="127" t="n">
        <x:f>IF(I11&gt;0,P11/I11,12)</x:f>
        <x:v>4.1259</x:v>
      </x:c>
      <x:c r="R11" s="127" t="n">
        <x:f>MIN(100,N11/XLOOKUP(D11,'23_Model_Config'!A$4:A$12,'23_Model_Config'!D$4:D$12)*70+MIN(5,Q11)*6)</x:f>
        <x:v>49.04409333333333</x:v>
      </x:c>
      <x:c r="S11" s="122" t="str">
        <x:v>空中攔截資源；參數為遊戲平衡值</x:v>
      </x:c>
      <x:c r="T11" s="122" t="str">
        <x:v>SRC-025</x:v>
      </x:c>
      <x:c r="U11" s="122" t="str">
        <x:v>EDUCATIONAL_SYNTHETIC</x:v>
      </x:c>
    </x:row>
    <x:row r="12" ht="34" customHeight="1">
      <x:c r="A12" s="121" t="str">
        <x:v>NR-BLUE-09</x:v>
      </x:c>
      <x:c r="B12" s="121" t="str">
        <x:v>BLUE</x:v>
      </x:c>
      <x:c r="C12" s="121" t="str">
        <x:v>天弓三型防空飛彈</x:v>
      </x:c>
      <x:c r="D12" s="121" t="str">
        <x:v>airDefense</x:v>
      </x:c>
      <x:c r="E12" s="121" t="str">
        <x:v>防空／攔截</x:v>
      </x:c>
      <x:c r="F12" s="121" t="n">
        <x:v>54</x:v>
      </x:c>
      <x:c r="G12" s="124" t="n">
        <x:v>90</x:v>
      </x:c>
      <x:c r="H12" s="124" t="n">
        <x:v>35</x:v>
      </x:c>
      <x:c r="I12" s="121" t="n">
        <x:v>7</x:v>
      </x:c>
      <x:c r="J12" s="121" t="n">
        <x:v>1</x:v>
      </x:c>
      <x:c r="K12" s="121" t="n">
        <x:v>10</x:v>
      </x:c>
      <x:c r="L12" s="121" t="n">
        <x:v>5</x:v>
      </x:c>
      <x:c r="M12" s="124" t="n">
        <x:v>92</x:v>
      </x:c>
      <x:c r="N12" s="125" t="n">
        <x:f>F12*G12/100*M12/100</x:f>
        <x:v>44.711999999999996</x:v>
      </x:c>
      <x:c r="O12" s="125" t="n">
        <x:f>F12*H12/100</x:f>
        <x:v>18.9</x:v>
      </x:c>
      <x:c r="P12" s="125" t="n">
        <x:f>MAX(0,N12-O12)</x:f>
        <x:v>25.811999999999998</x:v>
      </x:c>
      <x:c r="Q12" s="125" t="n">
        <x:f>IF(I12&gt;0,P12/I12,12)</x:f>
        <x:v>3.6874285714285713</x:v>
      </x:c>
      <x:c r="R12" s="125" t="n">
        <x:f>MIN(100,N12/XLOOKUP(D12,'23_Model_Config'!A$4:A$12,'23_Model_Config'!D$4:D$12)*70+MIN(5,Q12)*6)</x:f>
        <x:v>42.99017142857143</x:v>
      </x:c>
      <x:c r="S12" s="121" t="str">
        <x:v>區域防空資源；參數為遊戲平衡值</x:v>
      </x:c>
      <x:c r="T12" s="121" t="str">
        <x:v>SRC-027</x:v>
      </x:c>
      <x:c r="U12" s="121" t="str">
        <x:v>EDUCATIONAL_SYNTHETIC</x:v>
      </x:c>
    </x:row>
    <x:row r="13" ht="34" customHeight="1">
      <x:c r="A13" s="122" t="str">
        <x:v>NR-BLUE-10</x:v>
      </x:c>
      <x:c r="B13" s="122" t="str">
        <x:v>BLUE</x:v>
      </x:c>
      <x:c r="C13" s="122" t="str">
        <x:v>萬劍飛彈</x:v>
      </x:c>
      <x:c r="D13" s="122" t="str">
        <x:v>longRange</x:v>
      </x:c>
      <x:c r="E13" s="122" t="str">
        <x:v>遠程火力</x:v>
      </x:c>
      <x:c r="F13" s="122" t="n">
        <x:v>30</x:v>
      </x:c>
      <x:c r="G13" s="126" t="n">
        <x:v>82</x:v>
      </x:c>
      <x:c r="H13" s="126" t="n">
        <x:v>35</x:v>
      </x:c>
      <x:c r="I13" s="122" t="n">
        <x:v>5</x:v>
      </x:c>
      <x:c r="J13" s="122" t="n">
        <x:v>1</x:v>
      </x:c>
      <x:c r="K13" s="122" t="n">
        <x:v>6</x:v>
      </x:c>
      <x:c r="L13" s="122" t="n">
        <x:v>6</x:v>
      </x:c>
      <x:c r="M13" s="126" t="n">
        <x:v>88</x:v>
      </x:c>
      <x:c r="N13" s="127" t="n">
        <x:f>F13*G13/100*M13/100</x:f>
        <x:v>21.648000000000003</x:v>
      </x:c>
      <x:c r="O13" s="127" t="n">
        <x:f>F13*H13/100</x:f>
        <x:v>10.5</x:v>
      </x:c>
      <x:c r="P13" s="127" t="n">
        <x:f>MAX(0,N13-O13)</x:f>
        <x:v>11.148000000000003</x:v>
      </x:c>
      <x:c r="Q13" s="127" t="n">
        <x:f>IF(I13&gt;0,P13/I13,12)</x:f>
        <x:v>2.2296000000000005</x:v>
      </x:c>
      <x:c r="R13" s="127" t="n">
        <x:f>MIN(100,N13/XLOOKUP(D13,'23_Model_Config'!A$4:A$12,'23_Model_Config'!D$4:D$12)*70+MIN(5,Q13)*6)</x:f>
        <x:v>25.500480000000003</x:v>
      </x:c>
      <x:c r="S13" s="122" t="str">
        <x:v>遠程火力資源；參數為遊戲平衡值</x:v>
      </x:c>
      <x:c r="T13" s="122" t="str">
        <x:v>SRC-001</x:v>
      </x:c>
      <x:c r="U13" s="122" t="str">
        <x:v>EDUCATIONAL_SYNTHETIC</x:v>
      </x:c>
    </x:row>
    <x:row r="14" ht="34" customHeight="1">
      <x:c r="A14" s="121" t="str">
        <x:v>NR-BLUE-11</x:v>
      </x:c>
      <x:c r="B14" s="121" t="str">
        <x:v>BLUE</x:v>
      </x:c>
      <x:c r="C14" s="121" t="str">
        <x:v>雷霆2000多管火箭系統</x:v>
      </x:c>
      <x:c r="D14" s="121" t="str">
        <x:v>longRange</x:v>
      </x:c>
      <x:c r="E14" s="121" t="str">
        <x:v>遠程火力</x:v>
      </x:c>
      <x:c r="F14" s="121" t="n">
        <x:v>36</x:v>
      </x:c>
      <x:c r="G14" s="124" t="n">
        <x:v>84</x:v>
      </x:c>
      <x:c r="H14" s="124" t="n">
        <x:v>25</x:v>
      </x:c>
      <x:c r="I14" s="121" t="n">
        <x:v>5</x:v>
      </x:c>
      <x:c r="J14" s="121" t="n">
        <x:v>2</x:v>
      </x:c>
      <x:c r="K14" s="121" t="n">
        <x:v>8</x:v>
      </x:c>
      <x:c r="L14" s="121" t="n">
        <x:v>3</x:v>
      </x:c>
      <x:c r="M14" s="124" t="n">
        <x:v>90</x:v>
      </x:c>
      <x:c r="N14" s="125" t="n">
        <x:f>F14*G14/100*M14/100</x:f>
        <x:v>27.215999999999998</x:v>
      </x:c>
      <x:c r="O14" s="125" t="n">
        <x:f>F14*H14/100</x:f>
        <x:v>9</x:v>
      </x:c>
      <x:c r="P14" s="125" t="n">
        <x:f>MAX(0,N14-O14)</x:f>
        <x:v>18.215999999999998</x:v>
      </x:c>
      <x:c r="Q14" s="125" t="n">
        <x:f>IF(I14&gt;0,P14/I14,12)</x:f>
        <x:v>3.6431999999999993</x:v>
      </x:c>
      <x:c r="R14" s="125" t="n">
        <x:f>MIN(100,N14/XLOOKUP(D14,'23_Model_Config'!A$4:A$12,'23_Model_Config'!D$4:D$12)*70+MIN(5,Q14)*6)</x:f>
        <x:v>37.10015999999999</x:v>
      </x:c>
      <x:c r="S14" s="121" t="str">
        <x:v>地面火力支援；參數為遊戲平衡值</x:v>
      </x:c>
      <x:c r="T14" s="121" t="str">
        <x:v>SRC-001</x:v>
      </x:c>
      <x:c r="U14" s="121" t="str">
        <x:v>EDUCATIONAL_SYNTHETIC</x:v>
      </x:c>
    </x:row>
    <x:row r="15" ht="34" customHeight="1">
      <x:c r="A15" s="122" t="str">
        <x:v>NR-RED-01</x:v>
      </x:c>
      <x:c r="B15" s="122" t="str">
        <x:v>RED</x:v>
      </x:c>
      <x:c r="C15" s="122" t="str">
        <x:v>殲-20戰鬥機／J-20</x:v>
      </x:c>
      <x:c r="D15" s="122" t="str">
        <x:v>aviation</x:v>
      </x:c>
      <x:c r="E15" s="122" t="str">
        <x:v>航空任務</x:v>
      </x:c>
      <x:c r="F15" s="122" t="n">
        <x:v>32</x:v>
      </x:c>
      <x:c r="G15" s="126" t="n">
        <x:v>84</x:v>
      </x:c>
      <x:c r="H15" s="126" t="n">
        <x:v>28</x:v>
      </x:c>
      <x:c r="I15" s="122" t="n">
        <x:v>5</x:v>
      </x:c>
      <x:c r="J15" s="122" t="n">
        <x:v>2</x:v>
      </x:c>
      <x:c r="K15" s="122" t="n">
        <x:v>6</x:v>
      </x:c>
      <x:c r="L15" s="122" t="n">
        <x:v>5</x:v>
      </x:c>
      <x:c r="M15" s="126" t="n">
        <x:v>90</x:v>
      </x:c>
      <x:c r="N15" s="127" t="n">
        <x:f>F15*G15/100*M15/100</x:f>
        <x:v>24.191999999999997</x:v>
      </x:c>
      <x:c r="O15" s="127" t="n">
        <x:f>F15*H15/100</x:f>
        <x:v>8.96</x:v>
      </x:c>
      <x:c r="P15" s="127" t="n">
        <x:f>MAX(0,N15-O15)</x:f>
        <x:v>15.231999999999996</x:v>
      </x:c>
      <x:c r="Q15" s="127" t="n">
        <x:f>IF(I15&gt;0,P15/I15,12)</x:f>
        <x:v>3.0463999999999993</x:v>
      </x:c>
      <x:c r="R15" s="127" t="n">
        <x:f>MIN(100,N15/XLOOKUP(D15,'23_Model_Config'!A$4:A$12,'23_Model_Config'!D$4:D$12)*70+MIN(5,Q15)*6)</x:f>
        <x:v>32.3904</x:v>
      </x:c>
      <x:c r="S15" s="122" t="str">
        <x:v>先進航空任務；參數為遊戲平衡值</x:v>
      </x:c>
      <x:c r="T15" s="122" t="str">
        <x:v>SRC-028</x:v>
      </x:c>
      <x:c r="U15" s="122" t="str">
        <x:v>EDUCATIONAL_SYNTHETIC</x:v>
      </x:c>
    </x:row>
    <x:row r="16" ht="34" customHeight="1">
      <x:c r="A16" s="121" t="str">
        <x:v>NR-RED-02</x:v>
      </x:c>
      <x:c r="B16" s="121" t="str">
        <x:v>RED</x:v>
      </x:c>
      <x:c r="C16" s="121" t="str">
        <x:v>殲-16戰鬥機／J-16</x:v>
      </x:c>
      <x:c r="D16" s="121" t="str">
        <x:v>aviation</x:v>
      </x:c>
      <x:c r="E16" s="121" t="str">
        <x:v>航空任務</x:v>
      </x:c>
      <x:c r="F16" s="121" t="n">
        <x:v>52</x:v>
      </x:c>
      <x:c r="G16" s="124" t="n">
        <x:v>82</x:v>
      </x:c>
      <x:c r="H16" s="124" t="n">
        <x:v>20</x:v>
      </x:c>
      <x:c r="I16" s="121" t="n">
        <x:v>6</x:v>
      </x:c>
      <x:c r="J16" s="121" t="n">
        <x:v>2</x:v>
      </x:c>
      <x:c r="K16" s="121" t="n">
        <x:v>9</x:v>
      </x:c>
      <x:c r="L16" s="121" t="n">
        <x:v>4</x:v>
      </x:c>
      <x:c r="M16" s="124" t="n">
        <x:v>88</x:v>
      </x:c>
      <x:c r="N16" s="125" t="n">
        <x:f>F16*G16/100*M16/100</x:f>
        <x:v>37.5232</x:v>
      </x:c>
      <x:c r="O16" s="125" t="n">
        <x:f>F16*H16/100</x:f>
        <x:v>10.4</x:v>
      </x:c>
      <x:c r="P16" s="125" t="n">
        <x:f>MAX(0,N16-O16)</x:f>
        <x:v>27.123200000000004</x:v>
      </x:c>
      <x:c r="Q16" s="125" t="n">
        <x:f>IF(I16&gt;0,P16/I16,12)</x:f>
        <x:v>4.520533333333334</x:v>
      </x:c>
      <x:c r="R16" s="125" t="n">
        <x:f>MIN(100,N16/XLOOKUP(D16,'23_Model_Config'!A$4:A$12,'23_Model_Config'!D$4:D$12)*70+MIN(5,Q16)*6)</x:f>
        <x:v>49.01173333333334</x:v>
      </x:c>
      <x:c r="S16" s="121" t="str">
        <x:v>多用途航空任務；參數為遊戲平衡值</x:v>
      </x:c>
      <x:c r="T16" s="121" t="str">
        <x:v>SRC-028</x:v>
      </x:c>
      <x:c r="U16" s="121" t="str">
        <x:v>EDUCATIONAL_SYNTHETIC</x:v>
      </x:c>
    </x:row>
    <x:row r="17" ht="34" customHeight="1">
      <x:c r="A17" s="122" t="str">
        <x:v>NR-RED-03</x:v>
      </x:c>
      <x:c r="B17" s="122" t="str">
        <x:v>RED</x:v>
      </x:c>
      <x:c r="C17" s="122" t="str">
        <x:v>殲-10C戰鬥機／J-10C</x:v>
      </x:c>
      <x:c r="D17" s="122" t="str">
        <x:v>aviation</x:v>
      </x:c>
      <x:c r="E17" s="122" t="str">
        <x:v>航空任務</x:v>
      </x:c>
      <x:c r="F17" s="122" t="n">
        <x:v>58</x:v>
      </x:c>
      <x:c r="G17" s="126" t="n">
        <x:v>80</x:v>
      </x:c>
      <x:c r="H17" s="126" t="n">
        <x:v>18</x:v>
      </x:c>
      <x:c r="I17" s="122" t="n">
        <x:v>6</x:v>
      </x:c>
      <x:c r="J17" s="122" t="n">
        <x:v>3</x:v>
      </x:c>
      <x:c r="K17" s="122" t="n">
        <x:v>10</x:v>
      </x:c>
      <x:c r="L17" s="122" t="n">
        <x:v>3</x:v>
      </x:c>
      <x:c r="M17" s="126" t="n">
        <x:v>87</x:v>
      </x:c>
      <x:c r="N17" s="127" t="n">
        <x:f>F17*G17/100*M17/100</x:f>
        <x:v>40.367999999999995</x:v>
      </x:c>
      <x:c r="O17" s="127" t="n">
        <x:f>F17*H17/100</x:f>
        <x:v>10.44</x:v>
      </x:c>
      <x:c r="P17" s="127" t="n">
        <x:f>MAX(0,N17-O17)</x:f>
        <x:v>29.927999999999997</x:v>
      </x:c>
      <x:c r="Q17" s="127" t="n">
        <x:f>IF(I17&gt;0,P17/I17,12)</x:f>
        <x:v>4.9879999999999995</x:v>
      </x:c>
      <x:c r="R17" s="127" t="n">
        <x:f>MIN(100,N17/XLOOKUP(D17,'23_Model_Config'!A$4:A$12,'23_Model_Config'!D$4:D$12)*70+MIN(5,Q17)*6)</x:f>
        <x:v>53.476</x:v>
      </x:c>
      <x:c r="S17" s="122" t="str">
        <x:v>航空攔截任務；參數為遊戲平衡值</x:v>
      </x:c>
      <x:c r="T17" s="122" t="str">
        <x:v>SRC-028</x:v>
      </x:c>
      <x:c r="U17" s="122" t="str">
        <x:v>EDUCATIONAL_SYNTHETIC</x:v>
      </x:c>
    </x:row>
    <x:row r="18" ht="34" customHeight="1">
      <x:c r="A18" s="121" t="str">
        <x:v>NR-RED-04</x:v>
      </x:c>
      <x:c r="B18" s="121" t="str">
        <x:v>RED</x:v>
      </x:c>
      <x:c r="C18" s="121" t="str">
        <x:v>轟-6K轟炸機／H-6K</x:v>
      </x:c>
      <x:c r="D18" s="121" t="str">
        <x:v>longRange</x:v>
      </x:c>
      <x:c r="E18" s="121" t="str">
        <x:v>遠程火力</x:v>
      </x:c>
      <x:c r="F18" s="121" t="n">
        <x:v>24</x:v>
      </x:c>
      <x:c r="G18" s="124" t="n">
        <x:v>76</x:v>
      </x:c>
      <x:c r="H18" s="124" t="n">
        <x:v>35</x:v>
      </x:c>
      <x:c r="I18" s="121" t="n">
        <x:v>5</x:v>
      </x:c>
      <x:c r="J18" s="121" t="n">
        <x:v>1</x:v>
      </x:c>
      <x:c r="K18" s="121" t="n">
        <x:v>4</x:v>
      </x:c>
      <x:c r="L18" s="121" t="n">
        <x:v>6</x:v>
      </x:c>
      <x:c r="M18" s="124" t="n">
        <x:v>86</x:v>
      </x:c>
      <x:c r="N18" s="125" t="n">
        <x:f>F18*G18/100*M18/100</x:f>
        <x:v>15.686399999999999</x:v>
      </x:c>
      <x:c r="O18" s="125" t="n">
        <x:f>F18*H18/100</x:f>
        <x:v>8.4</x:v>
      </x:c>
      <x:c r="P18" s="125" t="n">
        <x:f>MAX(0,N18-O18)</x:f>
        <x:v>7.286399999999999</x:v>
      </x:c>
      <x:c r="Q18" s="125" t="n">
        <x:f>IF(I18&gt;0,P18/I18,12)</x:f>
        <x:v>1.4572799999999997</x:v>
      </x:c>
      <x:c r="R18" s="125" t="n">
        <x:f>MIN(100,N18/XLOOKUP(D18,'23_Model_Config'!A$4:A$12,'23_Model_Config'!D$4:D$12)*70+MIN(5,Q18)*6)</x:f>
        <x:v>17.528063999999997</x:v>
      </x:c>
      <x:c r="S18" s="121" t="str">
        <x:v>遠程航空任務；參數為遊戲平衡值</x:v>
      </x:c>
      <x:c r="T18" s="121" t="str">
        <x:v>SRC-028</x:v>
      </x:c>
      <x:c r="U18" s="121" t="str">
        <x:v>EDUCATIONAL_SYNTHETIC</x:v>
      </x:c>
    </x:row>
    <x:row r="19" ht="34" customHeight="1">
      <x:c r="A19" s="122" t="str">
        <x:v>NR-RED-05</x:v>
      </x:c>
      <x:c r="B19" s="122" t="str">
        <x:v>RED</x:v>
      </x:c>
      <x:c r="C19" s="122" t="str">
        <x:v>空警-500預警機／KJ-500</x:v>
      </x:c>
      <x:c r="D19" s="122" t="str">
        <x:v>isr</x:v>
      </x:c>
      <x:c r="E19" s="122" t="str">
        <x:v>ISR／感測</x:v>
      </x:c>
      <x:c r="F19" s="122" t="n">
        <x:v>18</x:v>
      </x:c>
      <x:c r="G19" s="126" t="n">
        <x:v>84</x:v>
      </x:c>
      <x:c r="H19" s="126" t="n">
        <x:v>32</x:v>
      </x:c>
      <x:c r="I19" s="122" t="n">
        <x:v>2</x:v>
      </x:c>
      <x:c r="J19" s="122" t="n">
        <x:v>1</x:v>
      </x:c>
      <x:c r="K19" s="122" t="n">
        <x:v>3</x:v>
      </x:c>
      <x:c r="L19" s="122" t="n">
        <x:v>5</x:v>
      </x:c>
      <x:c r="M19" s="126" t="n">
        <x:v>91</x:v>
      </x:c>
      <x:c r="N19" s="127" t="n">
        <x:f>F19*G19/100*M19/100</x:f>
        <x:v>13.759199999999998</x:v>
      </x:c>
      <x:c r="O19" s="127" t="n">
        <x:f>F19*H19/100</x:f>
        <x:v>5.76</x:v>
      </x:c>
      <x:c r="P19" s="127" t="n">
        <x:f>MAX(0,N19-O19)</x:f>
        <x:v>7.999199999999998</x:v>
      </x:c>
      <x:c r="Q19" s="127" t="n">
        <x:f>IF(I19&gt;0,P19/I19,12)</x:f>
        <x:v>3.999599999999999</x:v>
      </x:c>
      <x:c r="R19" s="127" t="n">
        <x:f>MIN(100,N19/XLOOKUP(D19,'23_Model_Config'!A$4:A$12,'23_Model_Config'!D$4:D$12)*70+MIN(5,Q19)*6)</x:f>
        <x:v>41.509309090909085</x:v>
      </x:c>
      <x:c r="S19" s="122" t="str">
        <x:v>空中預警與感測；參數為遊戲平衡值</x:v>
      </x:c>
      <x:c r="T19" s="122" t="str">
        <x:v>SRC-028</x:v>
      </x:c>
      <x:c r="U19" s="122" t="str">
        <x:v>EDUCATIONAL_SYNTHETIC</x:v>
      </x:c>
    </x:row>
    <x:row r="20" ht="34" customHeight="1">
      <x:c r="A20" s="121" t="str">
        <x:v>NR-RED-06</x:v>
      </x:c>
      <x:c r="B20" s="121" t="str">
        <x:v>RED</x:v>
      </x:c>
      <x:c r="C20" s="121" t="str">
        <x:v>運-20運輸機／Y-20</x:v>
      </x:c>
      <x:c r="D20" s="121" t="str">
        <x:v>logistics</x:v>
      </x:c>
      <x:c r="E20" s="121" t="str">
        <x:v>後勤／維修</x:v>
      </x:c>
      <x:c r="F20" s="121" t="n">
        <x:v>24</x:v>
      </x:c>
      <x:c r="G20" s="124" t="n">
        <x:v>79</x:v>
      </x:c>
      <x:c r="H20" s="124" t="n">
        <x:v>26</x:v>
      </x:c>
      <x:c r="I20" s="121" t="n">
        <x:v>3</x:v>
      </x:c>
      <x:c r="J20" s="121" t="n">
        <x:v>2</x:v>
      </x:c>
      <x:c r="K20" s="121" t="n">
        <x:v>5</x:v>
      </x:c>
      <x:c r="L20" s="121" t="n">
        <x:v>4</x:v>
      </x:c>
      <x:c r="M20" s="124" t="n">
        <x:v>88</x:v>
      </x:c>
      <x:c r="N20" s="125" t="n">
        <x:f>F20*G20/100*M20/100</x:f>
        <x:v>16.6848</x:v>
      </x:c>
      <x:c r="O20" s="125" t="n">
        <x:f>F20*H20/100</x:f>
        <x:v>6.24</x:v>
      </x:c>
      <x:c r="P20" s="125" t="n">
        <x:f>MAX(0,N20-O20)</x:f>
        <x:v>10.444799999999999</x:v>
      </x:c>
      <x:c r="Q20" s="125" t="n">
        <x:f>IF(I20&gt;0,P20/I20,12)</x:f>
        <x:v>3.4816</x:v>
      </x:c>
      <x:c r="R20" s="125" t="n">
        <x:f>MIN(100,N20/XLOOKUP(D20,'23_Model_Config'!A$4:A$12,'23_Model_Config'!D$4:D$12)*70+MIN(5,Q20)*6)</x:f>
        <x:v>32.0128</x:v>
      </x:c>
      <x:c r="S20" s="121" t="str">
        <x:v>空運與補給支援；參數為遊戲平衡值</x:v>
      </x:c>
      <x:c r="T20" s="121" t="str">
        <x:v>SRC-028</x:v>
      </x:c>
      <x:c r="U20" s="121" t="str">
        <x:v>EDUCATIONAL_SYNTHETIC</x:v>
      </x:c>
    </x:row>
    <x:row r="21" ht="34" customHeight="1">
      <x:c r="A21" s="122" t="str">
        <x:v>NR-RED-07</x:v>
      </x:c>
      <x:c r="B21" s="122" t="str">
        <x:v>RED</x:v>
      </x:c>
      <x:c r="C21" s="122" t="str">
        <x:v>055型導彈驅逐艦</x:v>
      </x:c>
      <x:c r="D21" s="122" t="str">
        <x:v>maritime</x:v>
      </x:c>
      <x:c r="E21" s="122" t="str">
        <x:v>海上任務</x:v>
      </x:c>
      <x:c r="F21" s="122" t="n">
        <x:v>16</x:v>
      </x:c>
      <x:c r="G21" s="126" t="n">
        <x:v>82</x:v>
      </x:c>
      <x:c r="H21" s="126" t="n">
        <x:v>30</x:v>
      </x:c>
      <x:c r="I21" s="122" t="n">
        <x:v>3</x:v>
      </x:c>
      <x:c r="J21" s="122" t="n">
        <x:v>1</x:v>
      </x:c>
      <x:c r="K21" s="122" t="n">
        <x:v>3</x:v>
      </x:c>
      <x:c r="L21" s="122" t="n">
        <x:v>6</x:v>
      </x:c>
      <x:c r="M21" s="126" t="n">
        <x:v>90</x:v>
      </x:c>
      <x:c r="N21" s="127" t="n">
        <x:f>F21*G21/100*M21/100</x:f>
        <x:v>11.808</x:v>
      </x:c>
      <x:c r="O21" s="127" t="n">
        <x:f>F21*H21/100</x:f>
        <x:v>4.8</x:v>
      </x:c>
      <x:c r="P21" s="127" t="n">
        <x:f>MAX(0,N21-O21)</x:f>
        <x:v>7.008</x:v>
      </x:c>
      <x:c r="Q21" s="127" t="n">
        <x:f>IF(I21&gt;0,P21/I21,12)</x:f>
        <x:v>2.336</x:v>
      </x:c>
      <x:c r="R21" s="127" t="n">
        <x:f>MIN(100,N21/XLOOKUP(D21,'23_Model_Config'!A$4:A$12,'23_Model_Config'!D$4:D$12)*70+MIN(5,Q21)*6)</x:f>
        <x:v>25.823999999999998</x:v>
      </x:c>
      <x:c r="S21" s="122" t="str">
        <x:v>大型水面艦任務；參數為遊戲平衡值</x:v>
      </x:c>
      <x:c r="T21" s="122" t="str">
        <x:v>SRC-031</x:v>
      </x:c>
      <x:c r="U21" s="122" t="str">
        <x:v>EDUCATIONAL_SYNTHETIC</x:v>
      </x:c>
    </x:row>
    <x:row r="22" ht="34" customHeight="1">
      <x:c r="A22" s="121" t="str">
        <x:v>NR-RED-08</x:v>
      </x:c>
      <x:c r="B22" s="121" t="str">
        <x:v>RED</x:v>
      </x:c>
      <x:c r="C22" s="121" t="str">
        <x:v>052D型導彈驅逐艦</x:v>
      </x:c>
      <x:c r="D22" s="121" t="str">
        <x:v>maritime</x:v>
      </x:c>
      <x:c r="E22" s="121" t="str">
        <x:v>海上任務</x:v>
      </x:c>
      <x:c r="F22" s="121" t="n">
        <x:v>28</x:v>
      </x:c>
      <x:c r="G22" s="124" t="n">
        <x:v>81</x:v>
      </x:c>
      <x:c r="H22" s="124" t="n">
        <x:v>24</x:v>
      </x:c>
      <x:c r="I22" s="121" t="n">
        <x:v>4</x:v>
      </x:c>
      <x:c r="J22" s="121" t="n">
        <x:v>1</x:v>
      </x:c>
      <x:c r="K22" s="121" t="n">
        <x:v>5</x:v>
      </x:c>
      <x:c r="L22" s="121" t="n">
        <x:v>4</x:v>
      </x:c>
      <x:c r="M22" s="124" t="n">
        <x:v>88</x:v>
      </x:c>
      <x:c r="N22" s="125" t="n">
        <x:f>F22*G22/100*M22/100</x:f>
        <x:v>19.958399999999997</x:v>
      </x:c>
      <x:c r="O22" s="125" t="n">
        <x:f>F22*H22/100</x:f>
        <x:v>6.72</x:v>
      </x:c>
      <x:c r="P22" s="125" t="n">
        <x:f>MAX(0,N22-O22)</x:f>
        <x:v>13.238399999999999</x:v>
      </x:c>
      <x:c r="Q22" s="125" t="n">
        <x:f>IF(I22&gt;0,P22/I22,12)</x:f>
        <x:v>3.3095999999999997</x:v>
      </x:c>
      <x:c r="R22" s="125" t="n">
        <x:f>MIN(100,N22/XLOOKUP(D22,'23_Model_Config'!A$4:A$12,'23_Model_Config'!D$4:D$12)*70+MIN(5,Q22)*6)</x:f>
        <x:v>39.815999999999995</x:v>
      </x:c>
      <x:c r="S22" s="121" t="str">
        <x:v>水面護航任務；參數為遊戲平衡值</x:v>
      </x:c>
      <x:c r="T22" s="121" t="str">
        <x:v>SRC-028</x:v>
      </x:c>
      <x:c r="U22" s="121" t="str">
        <x:v>EDUCATIONAL_SYNTHETIC</x:v>
      </x:c>
    </x:row>
    <x:row r="23" ht="34" customHeight="1">
      <x:c r="A23" s="122" t="str">
        <x:v>NR-RED-09</x:v>
      </x:c>
      <x:c r="B23" s="122" t="str">
        <x:v>RED</x:v>
      </x:c>
      <x:c r="C23" s="122" t="str">
        <x:v>075型兩棲攻擊艦</x:v>
      </x:c>
      <x:c r="D23" s="122" t="str">
        <x:v>maritime</x:v>
      </x:c>
      <x:c r="E23" s="122" t="str">
        <x:v>海上任務</x:v>
      </x:c>
      <x:c r="F23" s="122" t="n">
        <x:v>12</x:v>
      </x:c>
      <x:c r="G23" s="126" t="n">
        <x:v>75</x:v>
      </x:c>
      <x:c r="H23" s="126" t="n">
        <x:v>38</x:v>
      </x:c>
      <x:c r="I23" s="122" t="n">
        <x:v>3</x:v>
      </x:c>
      <x:c r="J23" s="122" t="n">
        <x:v>1</x:v>
      </x:c>
      <x:c r="K23" s="122" t="n">
        <x:v>2</x:v>
      </x:c>
      <x:c r="L23" s="122" t="n">
        <x:v>7</x:v>
      </x:c>
      <x:c r="M23" s="126" t="n">
        <x:v>86</x:v>
      </x:c>
      <x:c r="N23" s="127" t="n">
        <x:f>F23*G23/100*M23/100</x:f>
        <x:v>7.74</x:v>
      </x:c>
      <x:c r="O23" s="127" t="n">
        <x:f>F23*H23/100</x:f>
        <x:v>4.56</x:v>
      </x:c>
      <x:c r="P23" s="127" t="n">
        <x:f>MAX(0,N23-O23)</x:f>
        <x:v>3.1800000000000006</x:v>
      </x:c>
      <x:c r="Q23" s="127" t="n">
        <x:f>IF(I23&gt;0,P23/I23,12)</x:f>
        <x:v>1.0600000000000003</x:v>
      </x:c>
      <x:c r="R23" s="127" t="n">
        <x:f>MIN(100,N23/XLOOKUP(D23,'23_Model_Config'!A$4:A$12,'23_Model_Config'!D$4:D$12)*70+MIN(5,Q23)*6)</x:f>
        <x:v>14.100000000000001</x:v>
      </x:c>
      <x:c r="S23" s="122" t="str">
        <x:v>兩棲支援任務；參數為遊戲平衡值</x:v>
      </x:c>
      <x:c r="T23" s="122" t="str">
        <x:v>SRC-028</x:v>
      </x:c>
      <x:c r="U23" s="122" t="str">
        <x:v>EDUCATIONAL_SYNTHETIC</x:v>
      </x:c>
    </x:row>
    <x:row r="24" ht="34" customHeight="1">
      <x:c r="A24" s="121" t="str">
        <x:v>NR-RED-10</x:v>
      </x:c>
      <x:c r="B24" s="121" t="str">
        <x:v>RED</x:v>
      </x:c>
      <x:c r="C24" s="121" t="str">
        <x:v>東風-17常規導彈／DF-17</x:v>
      </x:c>
      <x:c r="D24" s="121" t="str">
        <x:v>longRange</x:v>
      </x:c>
      <x:c r="E24" s="121" t="str">
        <x:v>遠程火力</x:v>
      </x:c>
      <x:c r="F24" s="121" t="n">
        <x:v>56</x:v>
      </x:c>
      <x:c r="G24" s="124" t="n">
        <x:v>85</x:v>
      </x:c>
      <x:c r="H24" s="124" t="n">
        <x:v>30</x:v>
      </x:c>
      <x:c r="I24" s="121" t="n">
        <x:v>7</x:v>
      </x:c>
      <x:c r="J24" s="121" t="n">
        <x:v>1</x:v>
      </x:c>
      <x:c r="K24" s="121" t="n">
        <x:v>10</x:v>
      </x:c>
      <x:c r="L24" s="121" t="n">
        <x:v>5</x:v>
      </x:c>
      <x:c r="M24" s="124" t="n">
        <x:v>90</x:v>
      </x:c>
      <x:c r="N24" s="125" t="n">
        <x:f>F24*G24/100*M24/100</x:f>
        <x:v>42.84</x:v>
      </x:c>
      <x:c r="O24" s="125" t="n">
        <x:f>F24*H24/100</x:f>
        <x:v>16.8</x:v>
      </x:c>
      <x:c r="P24" s="125" t="n">
        <x:f>MAX(0,N24-O24)</x:f>
        <x:v>26.040000000000003</x:v>
      </x:c>
      <x:c r="Q24" s="125" t="n">
        <x:f>IF(I24&gt;0,P24/I24,12)</x:f>
        <x:v>3.72</x:v>
      </x:c>
      <x:c r="R24" s="125" t="n">
        <x:f>MIN(100,N24/XLOOKUP(D24,'23_Model_Config'!A$4:A$12,'23_Model_Config'!D$4:D$12)*70+MIN(5,Q24)*6)</x:f>
        <x:v>46.3104</x:v>
      </x:c>
      <x:c r="S24" s="121" t="str">
        <x:v>遠程火力資源；參數為遊戲平衡值</x:v>
      </x:c>
      <x:c r="T24" s="121" t="str">
        <x:v>SRC-029</x:v>
      </x:c>
      <x:c r="U24" s="121" t="str">
        <x:v>EDUCATIONAL_SYNTHETIC</x:v>
      </x:c>
    </x:row>
    <x:row r="25" ht="34" customHeight="1">
      <x:c r="A25" s="122" t="str">
        <x:v>NR-RED-11</x:v>
      </x:c>
      <x:c r="B25" s="122" t="str">
        <x:v>RED</x:v>
      </x:c>
      <x:c r="C25" s="122" t="str">
        <x:v>東風-26型導彈／DF-26</x:v>
      </x:c>
      <x:c r="D25" s="122" t="str">
        <x:v>longRange</x:v>
      </x:c>
      <x:c r="E25" s="122" t="str">
        <x:v>遠程火力</x:v>
      </x:c>
      <x:c r="F25" s="122" t="n">
        <x:v>44</x:v>
      </x:c>
      <x:c r="G25" s="126" t="n">
        <x:v>83</x:v>
      </x:c>
      <x:c r="H25" s="126" t="n">
        <x:v>38</x:v>
      </x:c>
      <x:c r="I25" s="122" t="n">
        <x:v>7</x:v>
      </x:c>
      <x:c r="J25" s="122" t="n">
        <x:v>1</x:v>
      </x:c>
      <x:c r="K25" s="122" t="n">
        <x:v>8</x:v>
      </x:c>
      <x:c r="L25" s="122" t="n">
        <x:v>7</x:v>
      </x:c>
      <x:c r="M25" s="126" t="n">
        <x:v>89</x:v>
      </x:c>
      <x:c r="N25" s="127" t="n">
        <x:f>F25*G25/100*M25/100</x:f>
        <x:v>32.5028</x:v>
      </x:c>
      <x:c r="O25" s="127" t="n">
        <x:f>F25*H25/100</x:f>
        <x:v>16.72</x:v>
      </x:c>
      <x:c r="P25" s="127" t="n">
        <x:f>MAX(0,N25-O25)</x:f>
        <x:v>15.782800000000002</x:v>
      </x:c>
      <x:c r="Q25" s="127" t="n">
        <x:f>IF(I25&gt;0,P25/I25,12)</x:f>
        <x:v>2.2546857142857144</x:v>
      </x:c>
      <x:c r="R25" s="127" t="n">
        <x:f>MIN(100,N25/XLOOKUP(D25,'23_Model_Config'!A$4:A$12,'23_Model_Config'!D$4:D$12)*70+MIN(5,Q25)*6)</x:f>
        <x:v>31.729682285714283</x:v>
      </x:c>
      <x:c r="S25" s="122" t="str">
        <x:v>戰略火力敘事標籤；參數為遊戲平衡值</x:v>
      </x:c>
      <x:c r="T25" s="122" t="str">
        <x:v>SRC-030</x:v>
      </x:c>
      <x:c r="U25" s="122" t="str">
        <x:v>EDUCATIONAL_SYNTHETIC</x:v>
      </x:c>
    </x:row>
    <x:row r="26" ht="34" customHeight="1">
      <x:c r="A26" s="121" t="str">
        <x:v>NR-AMBER-01</x:v>
      </x:c>
      <x:c r="B26" s="121" t="str">
        <x:v>AMBER</x:v>
      </x:c>
      <x:c r="C26" s="121" t="str">
        <x:v>F-35A Lightning II「閃電II」</x:v>
      </x:c>
      <x:c r="D26" s="121" t="str">
        <x:v>aviation</x:v>
      </x:c>
      <x:c r="E26" s="121" t="str">
        <x:v>航空任務</x:v>
      </x:c>
      <x:c r="F26" s="121" t="n">
        <x:v>36</x:v>
      </x:c>
      <x:c r="G26" s="124" t="n">
        <x:v>86</x:v>
      </x:c>
      <x:c r="H26" s="124" t="n">
        <x:v>30</x:v>
      </x:c>
      <x:c r="I26" s="121" t="n">
        <x:v>5</x:v>
      </x:c>
      <x:c r="J26" s="121" t="n">
        <x:v>2</x:v>
      </x:c>
      <x:c r="K26" s="121" t="n">
        <x:v>6</x:v>
      </x:c>
      <x:c r="L26" s="121" t="n">
        <x:v>5</x:v>
      </x:c>
      <x:c r="M26" s="124" t="n">
        <x:v>92</x:v>
      </x:c>
      <x:c r="N26" s="125" t="n">
        <x:f>F26*G26/100*M26/100</x:f>
        <x:v>28.4832</x:v>
      </x:c>
      <x:c r="O26" s="125" t="n">
        <x:f>F26*H26/100</x:f>
        <x:v>10.8</x:v>
      </x:c>
      <x:c r="P26" s="125" t="n">
        <x:f>MAX(0,N26-O26)</x:f>
        <x:v>17.6832</x:v>
      </x:c>
      <x:c r="Q26" s="125" t="n">
        <x:f>IF(I26&gt;0,P26/I26,12)</x:f>
        <x:v>3.53664</x:v>
      </x:c>
      <x:c r="R26" s="125" t="n">
        <x:f>MIN(100,N26/XLOOKUP(D26,'23_Model_Config'!A$4:A$12,'23_Model_Config'!D$4:D$12)*70+MIN(5,Q26)*6)</x:f>
        <x:v>37.83503999999999</x:v>
      </x:c>
      <x:c r="S26" s="121" t="str">
        <x:v>先進航空支援；參數為遊戲平衡值</x:v>
      </x:c>
      <x:c r="T26" s="121" t="str">
        <x:v>SRC-032</x:v>
      </x:c>
      <x:c r="U26" s="121" t="str">
        <x:v>EDUCATIONAL_SYNTHETIC</x:v>
      </x:c>
    </x:row>
    <x:row r="27" ht="34" customHeight="1">
      <x:c r="A27" s="122" t="str">
        <x:v>NR-AMBER-02</x:v>
      </x:c>
      <x:c r="B27" s="122" t="str">
        <x:v>AMBER</x:v>
      </x:c>
      <x:c r="C27" s="122" t="str">
        <x:v>F/A-18E/F Super Hornet「超級大黃蜂」</x:v>
      </x:c>
      <x:c r="D27" s="122" t="str">
        <x:v>aviation</x:v>
      </x:c>
      <x:c r="E27" s="122" t="str">
        <x:v>航空任務</x:v>
      </x:c>
      <x:c r="F27" s="122" t="n">
        <x:v>48</x:v>
      </x:c>
      <x:c r="G27" s="126" t="n">
        <x:v>83</x:v>
      </x:c>
      <x:c r="H27" s="126" t="n">
        <x:v>24</x:v>
      </x:c>
      <x:c r="I27" s="122" t="n">
        <x:v>6</x:v>
      </x:c>
      <x:c r="J27" s="122" t="n">
        <x:v>2</x:v>
      </x:c>
      <x:c r="K27" s="122" t="n">
        <x:v>8</x:v>
      </x:c>
      <x:c r="L27" s="122" t="n">
        <x:v>4</x:v>
      </x:c>
      <x:c r="M27" s="126" t="n">
        <x:v>90</x:v>
      </x:c>
      <x:c r="N27" s="127" t="n">
        <x:f>F27*G27/100*M27/100</x:f>
        <x:v>35.856</x:v>
      </x:c>
      <x:c r="O27" s="127" t="n">
        <x:f>F27*H27/100</x:f>
        <x:v>11.52</x:v>
      </x:c>
      <x:c r="P27" s="127" t="n">
        <x:f>MAX(0,N27-O27)</x:f>
        <x:v>24.336000000000002</x:v>
      </x:c>
      <x:c r="Q27" s="127" t="n">
        <x:f>IF(I27&gt;0,P27/I27,12)</x:f>
        <x:v>4.056</x:v>
      </x:c>
      <x:c r="R27" s="127" t="n">
        <x:f>MIN(100,N27/XLOOKUP(D27,'23_Model_Config'!A$4:A$12,'23_Model_Config'!D$4:D$12)*70+MIN(5,Q27)*6)</x:f>
        <x:v>45.251999999999995</x:v>
      </x:c>
      <x:c r="S27" s="122" t="str">
        <x:v>艦載航空支援；參數為遊戲平衡值</x:v>
      </x:c>
      <x:c r="T27" s="122" t="str">
        <x:v>SRC-032</x:v>
      </x:c>
      <x:c r="U27" s="122" t="str">
        <x:v>EDUCATIONAL_SYNTHETIC</x:v>
      </x:c>
    </x:row>
    <x:row r="28" ht="34" customHeight="1">
      <x:c r="A28" s="121" t="str">
        <x:v>NR-AMBER-03</x:v>
      </x:c>
      <x:c r="B28" s="121" t="str">
        <x:v>AMBER</x:v>
      </x:c>
      <x:c r="C28" s="121" t="str">
        <x:v>E-2D Advanced Hawkeye</x:v>
      </x:c>
      <x:c r="D28" s="121" t="str">
        <x:v>isr</x:v>
      </x:c>
      <x:c r="E28" s="121" t="str">
        <x:v>ISR／感測</x:v>
      </x:c>
      <x:c r="F28" s="121" t="n">
        <x:v>14</x:v>
      </x:c>
      <x:c r="G28" s="124" t="n">
        <x:v>88</x:v>
      </x:c>
      <x:c r="H28" s="124" t="n">
        <x:v>38</x:v>
      </x:c>
      <x:c r="I28" s="121" t="n">
        <x:v>2</x:v>
      </x:c>
      <x:c r="J28" s="121" t="n">
        <x:v>1</x:v>
      </x:c>
      <x:c r="K28" s="121" t="n">
        <x:v>2</x:v>
      </x:c>
      <x:c r="L28" s="121" t="n">
        <x:v>5</x:v>
      </x:c>
      <x:c r="M28" s="124" t="n">
        <x:v>93</x:v>
      </x:c>
      <x:c r="N28" s="125" t="n">
        <x:f>F28*G28/100*M28/100</x:f>
        <x:v>11.4576</x:v>
      </x:c>
      <x:c r="O28" s="125" t="n">
        <x:f>F28*H28/100</x:f>
        <x:v>5.32</x:v>
      </x:c>
      <x:c r="P28" s="125" t="n">
        <x:f>MAX(0,N28-O28)</x:f>
        <x:v>6.137599999999999</x:v>
      </x:c>
      <x:c r="Q28" s="125" t="n">
        <x:f>IF(I28&gt;0,P28/I28,12)</x:f>
        <x:v>3.0687999999999995</x:v>
      </x:c>
      <x:c r="R28" s="125" t="n">
        <x:f>MIN(100,N28/XLOOKUP(D28,'23_Model_Config'!A$4:A$12,'23_Model_Config'!D$4:D$12)*70+MIN(5,Q28)*6)</x:f>
        <x:v>32.9952</x:v>
      </x:c>
      <x:c r="S28" s="121" t="str">
        <x:v>空中預警支援；參數為遊戲平衡值</x:v>
      </x:c>
      <x:c r="T28" s="121" t="str">
        <x:v>SRC-036</x:v>
      </x:c>
      <x:c r="U28" s="121" t="str">
        <x:v>EDUCATIONAL_SYNTHETIC</x:v>
      </x:c>
    </x:row>
    <x:row r="29" ht="34" customHeight="1">
      <x:c r="A29" s="122" t="str">
        <x:v>NR-AMBER-04</x:v>
      </x:c>
      <x:c r="B29" s="122" t="str">
        <x:v>AMBER</x:v>
      </x:c>
      <x:c r="C29" s="122" t="str">
        <x:v>P-8A Poseidon「海神」</x:v>
      </x:c>
      <x:c r="D29" s="122" t="str">
        <x:v>subsurface</x:v>
      </x:c>
      <x:c r="E29" s="122" t="str">
        <x:v>水下任務</x:v>
      </x:c>
      <x:c r="F29" s="122" t="n">
        <x:v>20</x:v>
      </x:c>
      <x:c r="G29" s="126" t="n">
        <x:v>84</x:v>
      </x:c>
      <x:c r="H29" s="126" t="n">
        <x:v>30</x:v>
      </x:c>
      <x:c r="I29" s="122" t="n">
        <x:v>3</x:v>
      </x:c>
      <x:c r="J29" s="122" t="n">
        <x:v>1</x:v>
      </x:c>
      <x:c r="K29" s="122" t="n">
        <x:v>4</x:v>
      </x:c>
      <x:c r="L29" s="122" t="n">
        <x:v>4</x:v>
      </x:c>
      <x:c r="M29" s="126" t="n">
        <x:v>91</x:v>
      </x:c>
      <x:c r="N29" s="127" t="n">
        <x:f>F29*G29/100*M29/100</x:f>
        <x:v>15.288</x:v>
      </x:c>
      <x:c r="O29" s="127" t="n">
        <x:f>F29*H29/100</x:f>
        <x:v>6</x:v>
      </x:c>
      <x:c r="P29" s="127" t="n">
        <x:f>MAX(0,N29-O29)</x:f>
        <x:v>9.288</x:v>
      </x:c>
      <x:c r="Q29" s="127" t="n">
        <x:f>IF(I29&gt;0,P29/I29,12)</x:f>
        <x:v>3.096</x:v>
      </x:c>
      <x:c r="R29" s="127" t="n">
        <x:f>MIN(100,N29/XLOOKUP(D29,'23_Model_Config'!A$4:A$12,'23_Model_Config'!D$4:D$12)*70+MIN(5,Q29)*6)</x:f>
        <x:v>44.056</x:v>
      </x:c>
      <x:c r="S29" s="122" t="str">
        <x:v>海上巡邏與水下警戒；參數為遊戲平衡值</x:v>
      </x:c>
      <x:c r="T29" s="122" t="str">
        <x:v>SRC-036</x:v>
      </x:c>
      <x:c r="U29" s="122" t="str">
        <x:v>EDUCATIONAL_SYNTHETIC</x:v>
      </x:c>
    </x:row>
    <x:row r="30" ht="34" customHeight="1">
      <x:c r="A30" s="121" t="str">
        <x:v>NR-AMBER-05</x:v>
      </x:c>
      <x:c r="B30" s="121" t="str">
        <x:v>AMBER</x:v>
      </x:c>
      <x:c r="C30" s="121" t="str">
        <x:v>KC-46A Pegasus「飛馬」</x:v>
      </x:c>
      <x:c r="D30" s="121" t="str">
        <x:v>logistics</x:v>
      </x:c>
      <x:c r="E30" s="121" t="str">
        <x:v>後勤／維修</x:v>
      </x:c>
      <x:c r="F30" s="121" t="n">
        <x:v>18</x:v>
      </x:c>
      <x:c r="G30" s="124" t="n">
        <x:v>80</x:v>
      </x:c>
      <x:c r="H30" s="124" t="n">
        <x:v>34</x:v>
      </x:c>
      <x:c r="I30" s="121" t="n">
        <x:v>3</x:v>
      </x:c>
      <x:c r="J30" s="121" t="n">
        <x:v>2</x:v>
      </x:c>
      <x:c r="K30" s="121" t="n">
        <x:v>4</x:v>
      </x:c>
      <x:c r="L30" s="121" t="n">
        <x:v>5</x:v>
      </x:c>
      <x:c r="M30" s="124" t="n">
        <x:v>89</x:v>
      </x:c>
      <x:c r="N30" s="125" t="n">
        <x:f>F30*G30/100*M30/100</x:f>
        <x:v>12.816</x:v>
      </x:c>
      <x:c r="O30" s="125" t="n">
        <x:f>F30*H30/100</x:f>
        <x:v>6.12</x:v>
      </x:c>
      <x:c r="P30" s="125" t="n">
        <x:f>MAX(0,N30-O30)</x:f>
        <x:v>6.696000000000001</x:v>
      </x:c>
      <x:c r="Q30" s="125" t="n">
        <x:f>IF(I30&gt;0,P30/I30,12)</x:f>
        <x:v>2.232</x:v>
      </x:c>
      <x:c r="R30" s="125" t="n">
        <x:f>MIN(100,N30/XLOOKUP(D30,'23_Model_Config'!A$4:A$12,'23_Model_Config'!D$4:D$12)*70+MIN(5,Q30)*6)</x:f>
        <x:v>21.936</x:v>
      </x:c>
      <x:c r="S30" s="121" t="str">
        <x:v>空中加油支援；參數為遊戲平衡值</x:v>
      </x:c>
      <x:c r="T30" s="121" t="str">
        <x:v>SRC-032</x:v>
      </x:c>
      <x:c r="U30" s="121" t="str">
        <x:v>EDUCATIONAL_SYNTHETIC</x:v>
      </x:c>
    </x:row>
    <x:row r="31" ht="34" customHeight="1">
      <x:c r="A31" s="122" t="str">
        <x:v>NR-AMBER-06</x:v>
      </x:c>
      <x:c r="B31" s="122" t="str">
        <x:v>AMBER</x:v>
      </x:c>
      <x:c r="C31" s="122" t="str">
        <x:v>C-17 Globemaster III</x:v>
      </x:c>
      <x:c r="D31" s="122" t="str">
        <x:v>logistics</x:v>
      </x:c>
      <x:c r="E31" s="122" t="str">
        <x:v>後勤／維修</x:v>
      </x:c>
      <x:c r="F31" s="122" t="n">
        <x:v>16</x:v>
      </x:c>
      <x:c r="G31" s="126" t="n">
        <x:v>82</x:v>
      </x:c>
      <x:c r="H31" s="126" t="n">
        <x:v>32</x:v>
      </x:c>
      <x:c r="I31" s="122" t="n">
        <x:v>3</x:v>
      </x:c>
      <x:c r="J31" s="122" t="n">
        <x:v>2</x:v>
      </x:c>
      <x:c r="K31" s="122" t="n">
        <x:v>4</x:v>
      </x:c>
      <x:c r="L31" s="122" t="n">
        <x:v>5</x:v>
      </x:c>
      <x:c r="M31" s="126" t="n">
        <x:v>91</x:v>
      </x:c>
      <x:c r="N31" s="127" t="n">
        <x:f>F31*G31/100*M31/100</x:f>
        <x:v>11.939199999999998</x:v>
      </x:c>
      <x:c r="O31" s="127" t="n">
        <x:f>F31*H31/100</x:f>
        <x:v>5.12</x:v>
      </x:c>
      <x:c r="P31" s="127" t="n">
        <x:f>MAX(0,N31-O31)</x:f>
        <x:v>6.819199999999998</x:v>
      </x:c>
      <x:c r="Q31" s="127" t="n">
        <x:f>IF(I31&gt;0,P31/I31,12)</x:f>
        <x:v>2.273066666666666</x:v>
      </x:c>
      <x:c r="R31" s="127" t="n">
        <x:f>MIN(100,N31/XLOOKUP(D31,'23_Model_Config'!A$4:A$12,'23_Model_Config'!D$4:D$12)*70+MIN(5,Q31)*6)</x:f>
        <x:v>21.59786666666666</x:v>
      </x:c>
      <x:c r="S31" s="122" t="str">
        <x:v>戰略空運支援；參數為遊戲平衡值</x:v>
      </x:c>
      <x:c r="T31" s="122" t="str">
        <x:v>SRC-032</x:v>
      </x:c>
      <x:c r="U31" s="122" t="str">
        <x:v>EDUCATIONAL_SYNTHETIC</x:v>
      </x:c>
    </x:row>
    <x:row r="32" ht="34" customHeight="1">
      <x:c r="A32" s="121" t="str">
        <x:v>NR-AMBER-07</x:v>
      </x:c>
      <x:c r="B32" s="121" t="str">
        <x:v>AMBER</x:v>
      </x:c>
      <x:c r="C32" s="121" t="str">
        <x:v>Arleigh Burke級導彈驅逐艦</x:v>
      </x:c>
      <x:c r="D32" s="121" t="str">
        <x:v>maritime</x:v>
      </x:c>
      <x:c r="E32" s="121" t="str">
        <x:v>海上任務</x:v>
      </x:c>
      <x:c r="F32" s="121" t="n">
        <x:v>24</x:v>
      </x:c>
      <x:c r="G32" s="124" t="n">
        <x:v>86</x:v>
      </x:c>
      <x:c r="H32" s="124" t="n">
        <x:v>32</x:v>
      </x:c>
      <x:c r="I32" s="121" t="n">
        <x:v>4</x:v>
      </x:c>
      <x:c r="J32" s="121" t="n">
        <x:v>1</x:v>
      </x:c>
      <x:c r="K32" s="121" t="n">
        <x:v>4</x:v>
      </x:c>
      <x:c r="L32" s="121" t="n">
        <x:v>5</x:v>
      </x:c>
      <x:c r="M32" s="124" t="n">
        <x:v>92</x:v>
      </x:c>
      <x:c r="N32" s="125" t="n">
        <x:f>F32*G32/100*M32/100</x:f>
        <x:v>18.9888</x:v>
      </x:c>
      <x:c r="O32" s="125" t="n">
        <x:f>F32*H32/100</x:f>
        <x:v>7.68</x:v>
      </x:c>
      <x:c r="P32" s="125" t="n">
        <x:f>MAX(0,N32-O32)</x:f>
        <x:v>11.308800000000002</x:v>
      </x:c>
      <x:c r="Q32" s="125" t="n">
        <x:f>IF(I32&gt;0,P32/I32,12)</x:f>
        <x:v>2.8272000000000004</x:v>
      </x:c>
      <x:c r="R32" s="125" t="n">
        <x:f>MIN(100,N32/XLOOKUP(D32,'23_Model_Config'!A$4:A$12,'23_Model_Config'!D$4:D$12)*70+MIN(5,Q32)*6)</x:f>
        <x:v>35.952</x:v>
      </x:c>
      <x:c r="S32" s="121" t="str">
        <x:v>艦隊護航支援；參數為遊戲平衡值</x:v>
      </x:c>
      <x:c r="T32" s="121" t="str">
        <x:v>SRC-036</x:v>
      </x:c>
      <x:c r="U32" s="121" t="str">
        <x:v>EDUCATIONAL_SYNTHETIC</x:v>
      </x:c>
    </x:row>
    <x:row r="33" ht="34" customHeight="1">
      <x:c r="A33" s="122" t="str">
        <x:v>NR-AMBER-08</x:v>
      </x:c>
      <x:c r="B33" s="122" t="str">
        <x:v>AMBER</x:v>
      </x:c>
      <x:c r="C33" s="122" t="str">
        <x:v>Virginia級攻擊核潛艦</x:v>
      </x:c>
      <x:c r="D33" s="122" t="str">
        <x:v>subsurface</x:v>
      </x:c>
      <x:c r="E33" s="122" t="str">
        <x:v>水下任務</x:v>
      </x:c>
      <x:c r="F33" s="122" t="n">
        <x:v>14</x:v>
      </x:c>
      <x:c r="G33" s="126" t="n">
        <x:v>88</x:v>
      </x:c>
      <x:c r="H33" s="126" t="n">
        <x:v>40</x:v>
      </x:c>
      <x:c r="I33" s="122" t="n">
        <x:v>3</x:v>
      </x:c>
      <x:c r="J33" s="122" t="n">
        <x:v>1</x:v>
      </x:c>
      <x:c r="K33" s="122" t="n">
        <x:v>2</x:v>
      </x:c>
      <x:c r="L33" s="122" t="n">
        <x:v>7</x:v>
      </x:c>
      <x:c r="M33" s="126" t="n">
        <x:v>93</x:v>
      </x:c>
      <x:c r="N33" s="127" t="n">
        <x:f>F33*G33/100*M33/100</x:f>
        <x:v>11.4576</x:v>
      </x:c>
      <x:c r="O33" s="127" t="n">
        <x:f>F33*H33/100</x:f>
        <x:v>5.6</x:v>
      </x:c>
      <x:c r="P33" s="127" t="n">
        <x:f>MAX(0,N33-O33)</x:f>
        <x:v>5.8576</x:v>
      </x:c>
      <x:c r="Q33" s="127" t="n">
        <x:f>IF(I33&gt;0,P33/I33,12)</x:f>
        <x:v>1.9525333333333332</x:v>
      </x:c>
      <x:c r="R33" s="127" t="n">
        <x:f>MIN(100,N33/XLOOKUP(D33,'23_Model_Config'!A$4:A$12,'23_Model_Config'!D$4:D$12)*70+MIN(5,Q33)*6)</x:f>
        <x:v>30.8112</x:v>
      </x:c>
      <x:c r="S33" s="122" t="str">
        <x:v>水下警戒支援；參數為遊戲平衡值</x:v>
      </x:c>
      <x:c r="T33" s="122" t="str">
        <x:v>SRC-033</x:v>
      </x:c>
      <x:c r="U33" s="122" t="str">
        <x:v>EDUCATIONAL_SYNTHETIC</x:v>
      </x:c>
    </x:row>
    <x:row r="34" ht="34" customHeight="1">
      <x:c r="A34" s="121" t="str">
        <x:v>NR-AMBER-09</x:v>
      </x:c>
      <x:c r="B34" s="121" t="str">
        <x:v>AMBER</x:v>
      </x:c>
      <x:c r="C34" s="121" t="str">
        <x:v>SM-6標準六型飛彈</x:v>
      </x:c>
      <x:c r="D34" s="121" t="str">
        <x:v>airDefense</x:v>
      </x:c>
      <x:c r="E34" s="121" t="str">
        <x:v>防空／攔截</x:v>
      </x:c>
      <x:c r="F34" s="121" t="n">
        <x:v>72</x:v>
      </x:c>
      <x:c r="G34" s="124" t="n">
        <x:v>89</x:v>
      </x:c>
      <x:c r="H34" s="124" t="n">
        <x:v>36</x:v>
      </x:c>
      <x:c r="I34" s="121" t="n">
        <x:v>8</x:v>
      </x:c>
      <x:c r="J34" s="121" t="n">
        <x:v>1</x:v>
      </x:c>
      <x:c r="K34" s="121" t="n">
        <x:v>12</x:v>
      </x:c>
      <x:c r="L34" s="121" t="n">
        <x:v>6</x:v>
      </x:c>
      <x:c r="M34" s="124" t="n">
        <x:v>93</x:v>
      </x:c>
      <x:c r="N34" s="125" t="n">
        <x:f>F34*G34/100*M34/100</x:f>
        <x:v>59.59439999999999</x:v>
      </x:c>
      <x:c r="O34" s="125" t="n">
        <x:f>F34*H34/100</x:f>
        <x:v>25.92</x:v>
      </x:c>
      <x:c r="P34" s="125" t="n">
        <x:f>MAX(0,N34-O34)</x:f>
        <x:v>33.67439999999999</x:v>
      </x:c>
      <x:c r="Q34" s="125" t="n">
        <x:f>IF(I34&gt;0,P34/I34,12)</x:f>
        <x:v>4.209299999999999</x:v>
      </x:c>
      <x:c r="R34" s="125" t="n">
        <x:f>MIN(100,N34/XLOOKUP(D34,'23_Model_Config'!A$4:A$12,'23_Model_Config'!D$4:D$12)*70+MIN(5,Q34)*6)</x:f>
        <x:v>53.06651999999999</x:v>
      </x:c>
      <x:c r="S34" s="121" t="str">
        <x:v>艦隊防空資源；參數為遊戲平衡值</x:v>
      </x:c>
      <x:c r="T34" s="121" t="str">
        <x:v>SRC-034</x:v>
      </x:c>
      <x:c r="U34" s="121" t="str">
        <x:v>EDUCATIONAL_SYNTHETIC</x:v>
      </x:c>
    </x:row>
    <x:row r="35" ht="34" customHeight="1">
      <x:c r="A35" s="122" t="str">
        <x:v>NR-AMBER-10</x:v>
      </x:c>
      <x:c r="B35" s="122" t="str">
        <x:v>AMBER</x:v>
      </x:c>
      <x:c r="C35" s="122" t="str">
        <x:v>Tomahawk「戰斧」巡弋飛彈</x:v>
      </x:c>
      <x:c r="D35" s="122" t="str">
        <x:v>longRange</x:v>
      </x:c>
      <x:c r="E35" s="122" t="str">
        <x:v>遠程火力</x:v>
      </x:c>
      <x:c r="F35" s="122" t="n">
        <x:v>44</x:v>
      </x:c>
      <x:c r="G35" s="126" t="n">
        <x:v>86</x:v>
      </x:c>
      <x:c r="H35" s="126" t="n">
        <x:v>38</x:v>
      </x:c>
      <x:c r="I35" s="122" t="n">
        <x:v>6</x:v>
      </x:c>
      <x:c r="J35" s="122" t="n">
        <x:v>1</x:v>
      </x:c>
      <x:c r="K35" s="122" t="n">
        <x:v>8</x:v>
      </x:c>
      <x:c r="L35" s="122" t="n">
        <x:v>7</x:v>
      </x:c>
      <x:c r="M35" s="126" t="n">
        <x:v>91</x:v>
      </x:c>
      <x:c r="N35" s="127" t="n">
        <x:f>F35*G35/100*M35/100</x:f>
        <x:v>34.434400000000004</x:v>
      </x:c>
      <x:c r="O35" s="127" t="n">
        <x:f>F35*H35/100</x:f>
        <x:v>16.72</x:v>
      </x:c>
      <x:c r="P35" s="127" t="n">
        <x:f>MAX(0,N35-O35)</x:f>
        <x:v>17.714400000000005</x:v>
      </x:c>
      <x:c r="Q35" s="127" t="n">
        <x:f>IF(I35&gt;0,P35/I35,12)</x:f>
        <x:v>2.952400000000001</x:v>
      </x:c>
      <x:c r="R35" s="127" t="n">
        <x:f>MIN(100,N35/XLOOKUP(D35,'23_Model_Config'!A$4:A$12,'23_Model_Config'!D$4:D$12)*70+MIN(5,Q35)*6)</x:f>
        <x:v>36.99766400000001</x:v>
      </x:c>
      <x:c r="S35" s="122" t="str">
        <x:v>遠程火力資源；參數為遊戲平衡值</x:v>
      </x:c>
      <x:c r="T35" s="122" t="str">
        <x:v>SRC-035</x:v>
      </x:c>
      <x:c r="U35" s="122" t="str">
        <x:v>EDUCATIONAL_SYNTHETIC</x:v>
      </x:c>
    </x:row>
    <x:row r="36" ht="34" customHeight="1">
      <x:c r="A36" s="121" t="str">
        <x:v>NR-AMBER-11</x:v>
      </x:c>
      <x:c r="B36" s="121" t="str">
        <x:v>AMBER</x:v>
      </x:c>
      <x:c r="C36" s="121" t="str">
        <x:v>Starlink商用衛星通訊支援</x:v>
      </x:c>
      <x:c r="D36" s="121" t="str">
        <x:v>communications</x:v>
      </x:c>
      <x:c r="E36" s="121" t="str">
        <x:v>通訊／指管</x:v>
      </x:c>
      <x:c r="F36" s="121" t="n">
        <x:v>32</x:v>
      </x:c>
      <x:c r="G36" s="124" t="n">
        <x:v>90</x:v>
      </x:c>
      <x:c r="H36" s="124" t="n">
        <x:v>22</x:v>
      </x:c>
      <x:c r="I36" s="121" t="n">
        <x:v>3</x:v>
      </x:c>
      <x:c r="J36" s="121" t="n">
        <x:v>2</x:v>
      </x:c>
      <x:c r="K36" s="121" t="n">
        <x:v>6</x:v>
      </x:c>
      <x:c r="L36" s="121" t="n">
        <x:v>3</x:v>
      </x:c>
      <x:c r="M36" s="124" t="n">
        <x:v>92</x:v>
      </x:c>
      <x:c r="N36" s="125" t="n">
        <x:f>F36*G36/100*M36/100</x:f>
        <x:v>26.496</x:v>
      </x:c>
      <x:c r="O36" s="125" t="n">
        <x:f>F36*H36/100</x:f>
        <x:v>7.04</x:v>
      </x:c>
      <x:c r="P36" s="125" t="n">
        <x:f>MAX(0,N36-O36)</x:f>
        <x:v>19.456</x:v>
      </x:c>
      <x:c r="Q36" s="125" t="n">
        <x:f>IF(I36&gt;0,P36/I36,12)</x:f>
        <x:v>6.485333333333333</x:v>
      </x:c>
      <x:c r="R36" s="125" t="n">
        <x:f>MIN(100,N36/XLOOKUP(D36,'23_Model_Config'!A$4:A$12,'23_Model_Config'!D$4:D$12)*70+MIN(5,Q36)*6)</x:f>
        <x:v>74.16</x:v>
      </x:c>
      <x:c r="S36" s="121" t="str">
        <x:v>備援通訊節點；參數為遊戲平衡值</x:v>
      </x:c>
      <x:c r="T36" s="121" t="str">
        <x:v>SRC-016</x:v>
      </x:c>
      <x:c r="U36" s="121" t="str">
        <x:v>EDUCATIONAL_SYNTHETIC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c14f4bf7eb594ec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32" hidden="0" customWidth="1"/>
    <x:col min="4" max="4" width="18" hidden="0" customWidth="1"/>
    <x:col min="5" max="5" width="20" hidden="0" customWidth="1"/>
    <x:col min="6" max="6" width="28" hidden="0" customWidth="1"/>
    <x:col min="7" max="7" width="48" hidden="0" customWidth="1"/>
    <x:col min="8" max="8" width="24" hidden="0" customWidth="1"/>
  </x:cols>
  <x:sheetData>
    <x:row r="1" ht="28" customHeight="1">
      <x:c r="A1" s="118" t="str">
        <x:v>現行模型組態與介面控制</x:v>
      </x:c>
      <x:c r="B1" s="118"/>
      <x:c r="C1" s="118"/>
      <x:c r="D1" s="118"/>
      <x:c r="E1" s="118"/>
      <x:c r="F1" s="118"/>
      <x:c r="G1" s="118"/>
      <x:c r="H1" s="118"/>
    </x:row>
    <x:row r="2" ht="32" customHeight="1">
      <x:c r="A2" s="119" t="str">
        <x:v>彙整 app.js、index.html 與 styles.css 的現行設定。此表為可讀鏡像，瀏覽器執行時仍以程式碼為準。</x:v>
      </x:c>
      <x:c r="B2" s="119"/>
      <x:c r="C2" s="119"/>
      <x:c r="D2" s="119"/>
      <x:c r="E2" s="119"/>
      <x:c r="F2" s="119"/>
      <x:c r="G2" s="119"/>
      <x:c r="H2" s="119"/>
    </x:row>
    <x:row r="3" ht="31" customHeight="1">
      <x:c r="A3" s="123" t="str">
        <x:v>config_key</x:v>
      </x:c>
      <x:c r="B3" s="123" t="str">
        <x:v>section</x:v>
      </x:c>
      <x:c r="C3" s="123" t="str">
        <x:v>label</x:v>
      </x:c>
      <x:c r="D3" s="123" t="str">
        <x:v>current_value</x:v>
      </x:c>
      <x:c r="E3" s="123" t="str">
        <x:v>unit_or_options</x:v>
      </x:c>
      <x:c r="F3" s="123" t="str">
        <x:v>source_file</x:v>
      </x:c>
      <x:c r="G3" s="123" t="str">
        <x:v>runtime_effect</x:v>
      </x:c>
      <x:c r="H3" s="123" t="str">
        <x:v>data_class</x:v>
      </x:c>
    </x:row>
    <x:row r="4" ht="34" customHeight="1">
      <x:c r="A4" s="121" t="str">
        <x:v>aviation</x:v>
      </x:c>
      <x:c r="B4" s="121" t="str">
        <x:v>inventory_baseline</x:v>
      </x:c>
      <x:c r="C4" s="121" t="str">
        <x:v>航空任務</x:v>
      </x:c>
      <x:c r="D4" s="121" t="n">
        <x:v>120</x:v>
      </x:c>
      <x:c r="E4" s="121" t="str">
        <x:v>點</x:v>
      </x:c>
      <x:c r="F4" s="121" t="str">
        <x:v>app.js / INVENTORY_BASELINES</x:v>
      </x:c>
      <x:c r="G4" s="121" t="str">
        <x:v>具名資源 abstract_score 分母基準</x:v>
      </x:c>
      <x:c r="H4" s="121" t="str">
        <x:v>EDUCATIONAL_SYNTHETIC</x:v>
      </x:c>
    </x:row>
    <x:row r="5" ht="34" customHeight="1">
      <x:c r="A5" s="122" t="str">
        <x:v>airDefense</x:v>
      </x:c>
      <x:c r="B5" s="122" t="str">
        <x:v>inventory_baseline</x:v>
      </x:c>
      <x:c r="C5" s="122" t="str">
        <x:v>防空／攔截</x:v>
      </x:c>
      <x:c r="D5" s="122" t="n">
        <x:v>150</x:v>
      </x:c>
      <x:c r="E5" s="122" t="str">
        <x:v>點</x:v>
      </x:c>
      <x:c r="F5" s="122" t="str">
        <x:v>app.js / INVENTORY_BASELINES</x:v>
      </x:c>
      <x:c r="G5" s="122" t="str">
        <x:v>具名資源 abstract_score 分母基準</x:v>
      </x:c>
      <x:c r="H5" s="122" t="str">
        <x:v>EDUCATIONAL_SYNTHETIC</x:v>
      </x:c>
    </x:row>
    <x:row r="6" ht="34" customHeight="1">
      <x:c r="A6" s="121" t="str">
        <x:v>longRange</x:v>
      </x:c>
      <x:c r="B6" s="121" t="str">
        <x:v>inventory_baseline</x:v>
      </x:c>
      <x:c r="C6" s="121" t="str">
        <x:v>遠程火力</x:v>
      </x:c>
      <x:c r="D6" s="121" t="n">
        <x:v>125</x:v>
      </x:c>
      <x:c r="E6" s="121" t="str">
        <x:v>點</x:v>
      </x:c>
      <x:c r="F6" s="121" t="str">
        <x:v>app.js / INVENTORY_BASELINES</x:v>
      </x:c>
      <x:c r="G6" s="121" t="str">
        <x:v>具名資源 abstract_score 分母基準</x:v>
      </x:c>
      <x:c r="H6" s="121" t="str">
        <x:v>EDUCATIONAL_SYNTHETIC</x:v>
      </x:c>
    </x:row>
    <x:row r="7" ht="34" customHeight="1">
      <x:c r="A7" s="122" t="str">
        <x:v>maritime</x:v>
      </x:c>
      <x:c r="B7" s="122" t="str">
        <x:v>inventory_baseline</x:v>
      </x:c>
      <x:c r="C7" s="122" t="str">
        <x:v>海上任務</x:v>
      </x:c>
      <x:c r="D7" s="122" t="n">
        <x:v>70</x:v>
      </x:c>
      <x:c r="E7" s="122" t="str">
        <x:v>點</x:v>
      </x:c>
      <x:c r="F7" s="122" t="str">
        <x:v>app.js / INVENTORY_BASELINES</x:v>
      </x:c>
      <x:c r="G7" s="122" t="str">
        <x:v>具名資源 abstract_score 分母基準</x:v>
      </x:c>
      <x:c r="H7" s="122" t="str">
        <x:v>EDUCATIONAL_SYNTHETIC</x:v>
      </x:c>
    </x:row>
    <x:row r="8" ht="34" customHeight="1">
      <x:c r="A8" s="121" t="str">
        <x:v>subsurface</x:v>
      </x:c>
      <x:c r="B8" s="121" t="str">
        <x:v>inventory_baseline</x:v>
      </x:c>
      <x:c r="C8" s="121" t="str">
        <x:v>水下任務</x:v>
      </x:c>
      <x:c r="D8" s="121" t="n">
        <x:v>42</x:v>
      </x:c>
      <x:c r="E8" s="121" t="str">
        <x:v>點</x:v>
      </x:c>
      <x:c r="F8" s="121" t="str">
        <x:v>app.js / INVENTORY_BASELINES</x:v>
      </x:c>
      <x:c r="G8" s="121" t="str">
        <x:v>具名資源 abstract_score 分母基準</x:v>
      </x:c>
      <x:c r="H8" s="121" t="str">
        <x:v>EDUCATIONAL_SYNTHETIC</x:v>
      </x:c>
    </x:row>
    <x:row r="9" ht="34" customHeight="1">
      <x:c r="A9" s="122" t="str">
        <x:v>isr</x:v>
      </x:c>
      <x:c r="B9" s="122" t="str">
        <x:v>inventory_baseline</x:v>
      </x:c>
      <x:c r="C9" s="122" t="str">
        <x:v>ISR／感測</x:v>
      </x:c>
      <x:c r="D9" s="122" t="n">
        <x:v>55</x:v>
      </x:c>
      <x:c r="E9" s="122" t="str">
        <x:v>點</x:v>
      </x:c>
      <x:c r="F9" s="122" t="str">
        <x:v>app.js / INVENTORY_BASELINES</x:v>
      </x:c>
      <x:c r="G9" s="122" t="str">
        <x:v>具名資源 abstract_score 分母基準</x:v>
      </x:c>
      <x:c r="H9" s="122" t="str">
        <x:v>EDUCATIONAL_SYNTHETIC</x:v>
      </x:c>
    </x:row>
    <x:row r="10" ht="34" customHeight="1">
      <x:c r="A10" s="121" t="str">
        <x:v>communications</x:v>
      </x:c>
      <x:c r="B10" s="121" t="str">
        <x:v>inventory_baseline</x:v>
      </x:c>
      <x:c r="C10" s="121" t="str">
        <x:v>通訊／指管</x:v>
      </x:c>
      <x:c r="D10" s="121" t="n">
        <x:v>42</x:v>
      </x:c>
      <x:c r="E10" s="121" t="str">
        <x:v>點</x:v>
      </x:c>
      <x:c r="F10" s="121" t="str">
        <x:v>app.js / INVENTORY_BASELINES</x:v>
      </x:c>
      <x:c r="G10" s="121" t="str">
        <x:v>具名資源 abstract_score 分母基準</x:v>
      </x:c>
      <x:c r="H10" s="121" t="str">
        <x:v>EDUCATIONAL_SYNTHETIC</x:v>
      </x:c>
    </x:row>
    <x:row r="11" ht="34" customHeight="1">
      <x:c r="A11" s="122" t="str">
        <x:v>logistics</x:v>
      </x:c>
      <x:c r="B11" s="122" t="str">
        <x:v>inventory_baseline</x:v>
      </x:c>
      <x:c r="C11" s="122" t="str">
        <x:v>後勤／維修</x:v>
      </x:c>
      <x:c r="D11" s="122" t="n">
        <x:v>105</x:v>
      </x:c>
      <x:c r="E11" s="122" t="str">
        <x:v>點</x:v>
      </x:c>
      <x:c r="F11" s="122" t="str">
        <x:v>app.js / INVENTORY_BASELINES</x:v>
      </x:c>
      <x:c r="G11" s="122" t="str">
        <x:v>具名資源 abstract_score 分母基準</x:v>
      </x:c>
      <x:c r="H11" s="122" t="str">
        <x:v>EDUCATIONAL_SYNTHETIC</x:v>
      </x:c>
    </x:row>
    <x:row r="12" ht="34" customHeight="1">
      <x:c r="A12" s="121" t="str">
        <x:v>energy</x:v>
      </x:c>
      <x:c r="B12" s="121" t="str">
        <x:v>inventory_baseline</x:v>
      </x:c>
      <x:c r="C12" s="121" t="str">
        <x:v>能源／基礎設施</x:v>
      </x:c>
      <x:c r="D12" s="121" t="n">
        <x:v>100</x:v>
      </x:c>
      <x:c r="E12" s="121" t="str">
        <x:v>點</x:v>
      </x:c>
      <x:c r="F12" s="121" t="str">
        <x:v>app.js / INVENTORY_BASELINES</x:v>
      </x:c>
      <x:c r="G12" s="121" t="str">
        <x:v>具名資源 abstract_score 分母基準</x:v>
      </x:c>
      <x:c r="H12" s="121" t="str">
        <x:v>EDUCATIONAL_SYNTHETIC</x:v>
      </x:c>
    </x:row>
    <x:row r="13" ht="34" customHeight="1">
      <x:c r="A13" s="122" t="str">
        <x:v>ORDER_BUDGET</x:v>
      </x:c>
      <x:c r="B13" s="122" t="str">
        <x:v>turn_rules</x:v>
      </x:c>
      <x:c r="C13" s="122" t="str">
        <x:v>每方回合命令資源上限</x:v>
      </x:c>
      <x:c r="D13" s="122" t="n">
        <x:v>35</x:v>
      </x:c>
      <x:c r="E13" s="122" t="str">
        <x:v>點</x:v>
      </x:c>
      <x:c r="F13" s="122" t="str">
        <x:v>app.js</x:v>
      </x:c>
      <x:c r="G13" s="122" t="str">
        <x:v>限制正式回合命令投入</x:v>
      </x:c>
      <x:c r="H13" s="122" t="str">
        <x:v>EDUCATIONAL_SYNTHETIC</x:v>
      </x:c>
    </x:row>
    <x:row r="14" ht="34" customHeight="1">
      <x:c r="A14" s="121" t="str">
        <x:v>MIN_SUPPORT_ACTIONS</x:v>
      </x:c>
      <x:c r="B14" s="121" t="str">
        <x:v>turn_rules</x:v>
      </x:c>
      <x:c r="C14" s="121" t="str">
        <x:v>支援行動最少數</x:v>
      </x:c>
      <x:c r="D14" s="121" t="n">
        <x:v>2</x:v>
      </x:c>
      <x:c r="E14" s="121" t="str">
        <x:v>項</x:v>
      </x:c>
      <x:c r="F14" s="121" t="str">
        <x:v>app.js</x:v>
      </x:c>
      <x:c r="G14" s="121" t="str">
        <x:v>命令驗證</x:v>
      </x:c>
      <x:c r="H14" s="121" t="str">
        <x:v>EDUCATIONAL_SYNTHETIC</x:v>
      </x:c>
    </x:row>
    <x:row r="15" ht="34" customHeight="1">
      <x:c r="A15" s="122" t="str">
        <x:v>MAX_SUPPORT_ACTIONS</x:v>
      </x:c>
      <x:c r="B15" s="122" t="str">
        <x:v>turn_rules</x:v>
      </x:c>
      <x:c r="C15" s="122" t="str">
        <x:v>支援行動最多數</x:v>
      </x:c>
      <x:c r="D15" s="122" t="n">
        <x:v>4</x:v>
      </x:c>
      <x:c r="E15" s="122" t="str">
        <x:v>項</x:v>
      </x:c>
      <x:c r="F15" s="122" t="str">
        <x:v>app.js</x:v>
      </x:c>
      <x:c r="G15" s="122" t="str">
        <x:v>命令驗證</x:v>
      </x:c>
      <x:c r="H15" s="122" t="str">
        <x:v>EDUCATIONAL_SYNTHETIC</x:v>
      </x:c>
    </x:row>
    <x:row r="16" ht="34" customHeight="1">
      <x:c r="A16" s="121" t="str">
        <x:v>enableDetailedInventory</x:v>
      </x:c>
      <x:c r="B16" s="121" t="str">
        <x:v>ui_control</x:v>
      </x:c>
      <x:c r="C16" s="121" t="str">
        <x:v>啟用詳細資源清單</x:v>
      </x:c>
      <x:c r="D16" s="128" t="b">
        <x:v>1</x:v>
      </x:c>
      <x:c r="E16" s="121" t="str">
        <x:v>布林</x:v>
      </x:c>
      <x:c r="F16" s="121" t="str">
        <x:v>index.html</x:v>
      </x:c>
      <x:c r="G16" s="121" t="str">
        <x:v>想定生成的詳細資源模式</x:v>
      </x:c>
      <x:c r="H16" s="121" t="str">
        <x:v>LOCAL_RUNTIME</x:v>
      </x:c>
    </x:row>
    <x:row r="17" ht="34" customHeight="1">
      <x:c r="A17" s="122" t="str">
        <x:v>inventoryDataMode</x:v>
      </x:c>
      <x:c r="B17" s="122" t="str">
        <x:v>ui_control</x:v>
      </x:c>
      <x:c r="C17" s="122" t="str">
        <x:v>資源資料模式</x:v>
      </x:c>
      <x:c r="D17" s="122" t="str">
        <x:v>synthetic</x:v>
      </x:c>
      <x:c r="E17" s="122" t="str">
        <x:v>列舉</x:v>
      </x:c>
      <x:c r="F17" s="122" t="str">
        <x:v>index.html</x:v>
      </x:c>
      <x:c r="G17" s="122" t="str">
        <x:v>synthetic／sensitive_local</x:v>
      </x:c>
      <x:c r="H17" s="122" t="str">
        <x:v>LOCAL_RUNTIME</x:v>
      </x:c>
    </x:row>
    <x:row r="18" ht="34" customHeight="1">
      <x:c r="A18" s="121" t="str">
        <x:v>useLlmNextTurn</x:v>
      </x:c>
      <x:c r="B18" s="121" t="str">
        <x:v>llm_control</x:v>
      </x:c>
      <x:c r="C18" s="121" t="str">
        <x:v>使用 LLM 生成次回合想定</x:v>
      </x:c>
      <x:c r="D18" s="128" t="b">
        <x:v>1</x:v>
      </x:c>
      <x:c r="E18" s="121" t="str">
        <x:v>布林</x:v>
      </x:c>
      <x:c r="F18" s="121" t="str">
        <x:v>index.html</x:v>
      </x:c>
      <x:c r="G18" s="121" t="str">
        <x:v>依剩餘資源產生次回合敘事</x:v>
      </x:c>
      <x:c r="H18" s="121" t="str">
        <x:v>LOCAL_RUNTIME</x:v>
      </x:c>
    </x:row>
    <x:row r="19" ht="34" customHeight="1">
      <x:c r="A19" s="122" t="str">
        <x:v>allowSanitizedLlm</x:v>
      </x:c>
      <x:c r="B19" s="122" t="str">
        <x:v>llm_control</x:v>
      </x:c>
      <x:c r="C19" s="122" t="str">
        <x:v>允許送出匿名化資源摘要</x:v>
      </x:c>
      <x:c r="D19" s="129" t="b">
        <x:v>1</x:v>
      </x:c>
      <x:c r="E19" s="122" t="str">
        <x:v>布林</x:v>
      </x:c>
      <x:c r="F19" s="122" t="str">
        <x:v>index.html</x:v>
      </x:c>
      <x:c r="G19" s="122" t="str">
        <x:v>敏感模式只送彙整摘要</x:v>
      </x:c>
      <x:c r="H19" s="122" t="str">
        <x:v>LOCAL_RUNTIME</x:v>
      </x:c>
    </x:row>
    <x:row r="20" ht="34" customHeight="1">
      <x:c r="A20" s="121" t="str">
        <x:v>operationAnimation</x:v>
      </x:c>
      <x:c r="B20" s="121" t="str">
        <x:v>animation</x:v>
      </x:c>
      <x:c r="C20" s="121" t="str">
        <x:v>三方作戰示意動畫</x:v>
      </x:c>
      <x:c r="D20" s="128" t="b">
        <x:v>1</x:v>
      </x:c>
      <x:c r="E20" s="121" t="str">
        <x:v>強制啟用</x:v>
      </x:c>
      <x:c r="F20" s="121" t="str">
        <x:v>app.js / index.html</x:v>
      </x:c>
      <x:c r="G20" s="121" t="str">
        <x:v>命令送出後顯示三方圖標與路徑動畫</x:v>
      </x:c>
      <x:c r="H20" s="121" t="str">
        <x:v>LOCAL_RUNTIME</x:v>
      </x:c>
    </x:row>
    <x:row r="21" ht="34" customHeight="1">
      <x:c r="A21" s="122" t="str">
        <x:v>operationSpeed</x:v>
      </x:c>
      <x:c r="B21" s="122" t="str">
        <x:v>animation</x:v>
      </x:c>
      <x:c r="C21" s="122" t="str">
        <x:v>動畫速度</x:v>
      </x:c>
      <x:c r="D21" s="122" t="n">
        <x:v>1</x:v>
      </x:c>
      <x:c r="E21" s="122" t="str">
        <x:v>0.75／1／1.5</x:v>
      </x:c>
      <x:c r="F21" s="122" t="str">
        <x:v>index.html</x:v>
      </x:c>
      <x:c r="G21" s="122" t="str">
        <x:v>保留重播、暫停、全螢幕與隱藏操作</x:v>
      </x:c>
      <x:c r="H21" s="122" t="str">
        <x:v>LOCAL_RUNTIME</x:v>
      </x:c>
    </x:row>
    <x:row r="22" ht="34" customHeight="1">
      <x:c r="A22" s="121" t="str">
        <x:v>operationMajorConflict</x:v>
      </x:c>
      <x:c r="B22" s="121" t="str">
        <x:v>animation</x:v>
      </x:c>
      <x:c r="C22" s="121" t="str">
        <x:v>重大衝突外框強調</x:v>
      </x:c>
      <x:c r="D22" s="128" t="b">
        <x:v>1</x:v>
      </x:c>
      <x:c r="E22" s="121" t="str">
        <x:v>布林</x:v>
      </x:c>
      <x:c r="F22" s="121" t="str">
        <x:v>app.js</x:v>
      </x:c>
      <x:c r="G22" s="121" t="str">
        <x:v>大規模衝突時外框閃爍與煙花效果</x:v>
      </x:c>
      <x:c r="H22" s="121" t="str">
        <x:v>LOCAL_RUNTIME</x:v>
      </x:c>
    </x:row>
    <x:row r="23" ht="34" customHeight="1">
      <x:c r="A23" s="122" t="str">
        <x:v>resolveTurnBtn</x:v>
      </x:c>
      <x:c r="B23" s="122" t="str">
        <x:v>ui_control</x:v>
      </x:c>
      <x:c r="C23" s="122" t="str">
        <x:v>結算本回合按鈕</x:v>
      </x:c>
      <x:c r="D23" s="122" t="str">
        <x:v>粉紫色</x:v>
      </x:c>
      <x:c r="E23" s="122" t="str">
        <x:v>按鈕</x:v>
      </x:c>
      <x:c r="F23" s="122" t="str">
        <x:v>styles.css / index.html</x:v>
      </x:c>
      <x:c r="G23" s="122" t="str">
        <x:v>左側垂直導覽列最下方</x:v>
      </x:c>
      <x:c r="H23" s="122" t="str">
        <x:v>LOCAL_RUNTIME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482dbea74054da6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0" hidden="0" customWidth="1"/>
    <x:col min="3" max="3" width="65" hidden="0" customWidth="1"/>
    <x:col min="4" max="4" width="28" hidden="0" customWidth="1"/>
  </x:cols>
  <x:sheetData>
    <x:row r="1" ht="28" customHeight="1">
      <x:c r="A1" s="118" t="str">
        <x:v>專案檔案與參考資料索引</x:v>
      </x:c>
      <x:c r="B1" s="118"/>
      <x:c r="C1" s="118"/>
      <x:c r="D1" s="118"/>
    </x:row>
    <x:row r="2" ht="32" customHeight="1">
      <x:c r="A2" s="119" t="str">
        <x:v>列出本次校對採用的工作區來源；網頁執行真相以 index.html、app.js、styles.css、data/demo-data.js 為準。</x:v>
      </x:c>
      <x:c r="B2" s="119"/>
      <x:c r="C2" s="119"/>
      <x:c r="D2" s="119"/>
    </x:row>
    <x:row r="3" ht="31" customHeight="1">
      <x:c r="A3" s="123" t="str">
        <x:v>path</x:v>
      </x:c>
      <x:c r="B3" s="123" t="str">
        <x:v>role</x:v>
      </x:c>
      <x:c r="C3" s="123" t="str">
        <x:v>contents</x:v>
      </x:c>
      <x:c r="D3" s="123" t="str">
        <x:v>authority</x:v>
      </x:c>
    </x:row>
    <x:row r="4" ht="38" customHeight="1">
      <x:c r="A4" s="121" t="str">
        <x:v>index.html</x:v>
      </x:c>
      <x:c r="B4" s="121" t="str">
        <x:v>UI 結構</x:v>
      </x:c>
      <x:c r="C4" s="121" t="str">
        <x:v>所有表單欄位、垂直導覽、動畫操作按鈕</x:v>
      </x:c>
      <x:c r="D4" s="121" t="str">
        <x:v>執行時來源</x:v>
      </x:c>
    </x:row>
    <x:row r="5" ht="38" customHeight="1">
      <x:c r="A5" s="122" t="str">
        <x:v>app.js</x:v>
      </x:c>
      <x:c r="B5" s="122" t="str">
        <x:v>核心邏輯</x:v>
      </x:c>
      <x:c r="C5" s="122" t="str">
        <x:v>想定生成、33 項具名資源、回合結算、LLM 次回合推演、動畫</x:v>
      </x:c>
      <x:c r="D5" s="122" t="str">
        <x:v>執行時來源</x:v>
      </x:c>
    </x:row>
    <x:row r="6" ht="38" customHeight="1">
      <x:c r="A6" s="121" t="str">
        <x:v>styles.css</x:v>
      </x:c>
      <x:c r="B6" s="121" t="str">
        <x:v>樣式</x:v>
      </x:c>
      <x:c r="C6" s="121" t="str">
        <x:v>垂直導覽、命令區寬度、粉紫色結算按鈕、動畫容器</x:v>
      </x:c>
      <x:c r="D6" s="121" t="str">
        <x:v>執行時來源</x:v>
      </x:c>
    </x:row>
    <x:row r="7" ht="38" customHeight="1">
      <x:c r="A7" s="122" t="str">
        <x:v>data/demo-data.js</x:v>
      </x:c>
      <x:c r="B7" s="122" t="str">
        <x:v>資料集</x:v>
      </x:c>
      <x:c r="C7" s="122" t="str">
        <x:v>角色、區域、兵力包、能力、天候、情報、事件、公開來源與教學目錄</x:v>
      </x:c>
      <x:c r="D7" s="122" t="str">
        <x:v>執行時資料</x:v>
      </x:c>
    </x:row>
    <x:row r="8" ht="38" customHeight="1">
      <x:c r="A8" s="121" t="str">
        <x:v>assets/taiwan-strait-location-map.svg</x:v>
      </x:c>
      <x:c r="B8" s="121" t="str">
        <x:v>地圖資產</x:v>
      </x:c>
      <x:c r="C8" s="121" t="str">
        <x:v>三方作戰示意動畫底圖</x:v>
      </x:c>
      <x:c r="D8" s="121" t="str">
        <x:v>Wikimedia 來源；概略示意</x:v>
      </x:c>
    </x:row>
    <x:row r="9" ht="38" customHeight="1">
      <x:c r="A9" s="122" t="str">
        <x:v>reference/taiwan_strait_wargame_demo.xlsx</x:v>
      </x:c>
      <x:c r="B9" s="122" t="str">
        <x:v>Excel 主副本</x:v>
      </x:c>
      <x:c r="C9" s="122" t="str">
        <x:v>可攜式資料庫、公式與欄位字典</x:v>
      </x:c>
      <x:c r="D9" s="122" t="str">
        <x:v>本次同步輸出</x:v>
      </x:c>
    </x:row>
    <x:row r="10" ht="38" customHeight="1">
      <x:c r="A10" s="121" t="str">
        <x:v>docs/taiwan_strait_wargame_demo-data-guide.html</x:v>
      </x:c>
      <x:c r="B10" s="121" t="str">
        <x:v>欄位說明</x:v>
      </x:c>
      <x:c r="C10" s="121" t="str">
        <x:v>25 張工作表欄位、關聯、公式與同步界線</x:v>
      </x:c>
      <x:c r="D10" s="121" t="str">
        <x:v>本次同步輸出</x:v>
      </x:c>
    </x:row>
    <x:row r="11" ht="38" customHeight="1">
      <x:c r="A11" s="122" t="str">
        <x:v>docs/data-model.md</x:v>
      </x:c>
      <x:c r="B11" s="122" t="str">
        <x:v>架構文件</x:v>
      </x:c>
      <x:c r="C11" s="122" t="str">
        <x:v>網頁／Excel／SQLite 的資料關係與安全界線</x:v>
      </x:c>
      <x:c r="D11" s="122" t="str">
        <x:v>輔助參考</x:v>
      </x:c>
    </x:row>
    <x:row r="12" ht="38" customHeight="1">
      <x:c r="A12" s="121" t="str">
        <x:v>docs/system-spec.md</x:v>
      </x:c>
      <x:c r="B12" s="121" t="str">
        <x:v>系統規格</x:v>
      </x:c>
      <x:c r="C12" s="121" t="str">
        <x:v>模組、流程、狀態與限制</x:v>
      </x:c>
      <x:c r="D12" s="121" t="str">
        <x:v>輔助參考</x:v>
      </x:c>
    </x:row>
    <x:row r="13" ht="38" customHeight="1">
      <x:c r="A13" s="122" t="str">
        <x:v>docs/course-guide.md</x:v>
      </x:c>
      <x:c r="B13" s="122" t="str">
        <x:v>課程指南</x:v>
      </x:c>
      <x:c r="C13" s="122" t="str">
        <x:v>教學流程與使用建議</x:v>
      </x:c>
      <x:c r="D13" s="122" t="str">
        <x:v>輔助參考</x:v>
      </x:c>
    </x:row>
    <x:row r="14" ht="38" customHeight="1">
      <x:c r="A14" s="121" t="str">
        <x:v>docs/storm-teaching-lab.md</x:v>
      </x:c>
      <x:c r="B14" s="121" t="str">
        <x:v>STORM 教學</x:v>
      </x:c>
      <x:c r="C14" s="121" t="str">
        <x:v>STORM 實驗步驟與解讀</x:v>
      </x:c>
      <x:c r="D14" s="121" t="str">
        <x:v>輔助參考</x:v>
      </x:c>
    </x:row>
    <x:row r="15" ht="38" customHeight="1">
      <x:c r="A15" s="122" t="str">
        <x:v>assets/README.md</x:v>
      </x:c>
      <x:c r="B15" s="122" t="str">
        <x:v>素材說明</x:v>
      </x:c>
      <x:c r="C15" s="122" t="str">
        <x:v>底圖與素材來源／授權備註</x:v>
      </x:c>
      <x:c r="D15" s="122" t="str">
        <x:v>輔助參考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00a95ad5c754884"/>
  </x:tableParts>
</x:worksheet>
</file>